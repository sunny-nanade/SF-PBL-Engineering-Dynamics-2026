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Kamlesh_Panchal" sheetId="1" state="visible" r:id="rId1"/>
    <sheet xmlns:r="http://schemas.openxmlformats.org/officeDocument/2006/relationships" name="2_Hasti_Chandarana" sheetId="2" state="visible" r:id="rId2"/>
    <sheet xmlns:r="http://schemas.openxmlformats.org/officeDocument/2006/relationships" name="3_Nitu_Gupta" sheetId="3" state="visible" r:id="rId3"/>
    <sheet xmlns:r="http://schemas.openxmlformats.org/officeDocument/2006/relationships" name="4_Mahendra_Kane" sheetId="4" state="visible" r:id="rId4"/>
    <sheet xmlns:r="http://schemas.openxmlformats.org/officeDocument/2006/relationships" name="5_Parminder_Jandoo" sheetId="5" state="visible" r:id="rId5"/>
    <sheet xmlns:r="http://schemas.openxmlformats.org/officeDocument/2006/relationships" name="6_Debasis_Dash" sheetId="6" state="visible" r:id="rId6"/>
    <sheet xmlns:r="http://schemas.openxmlformats.org/officeDocument/2006/relationships" name="7_Marks_Summary" sheetId="7" state="visible" r:id="rId7"/>
  </sheets>
  <definedNames>
    <definedName name="_xlnm.Print_Titles" localSheetId="0">'1_Kamlesh_Panchal'!$7:$7</definedName>
    <definedName name="_xlnm.Print_Area" localSheetId="0">'1_Kamlesh_Panchal'!$A$1:$H$81</definedName>
    <definedName name="_xlnm.Print_Titles" localSheetId="1">'2_Hasti_Chandarana'!$7:$7</definedName>
    <definedName name="_xlnm.Print_Area" localSheetId="1">'2_Hasti_Chandarana'!$A$1:$H$81</definedName>
    <definedName name="_xlnm.Print_Titles" localSheetId="2">'3_Nitu_Gupta'!$7:$7</definedName>
    <definedName name="_xlnm.Print_Area" localSheetId="2">'3_Nitu_Gupta'!$A$1:$H$81</definedName>
    <definedName name="_xlnm.Print_Titles" localSheetId="3">'4_Mahendra_Kane'!$7:$7</definedName>
    <definedName name="_xlnm.Print_Area" localSheetId="3">'4_Mahendra_Kane'!$A$1:$H$81</definedName>
    <definedName name="_xlnm.Print_Titles" localSheetId="4">'5_Parminder_Jandoo'!$7:$7</definedName>
    <definedName name="_xlnm.Print_Area" localSheetId="4">'5_Parminder_Jandoo'!$A$1:$H$81</definedName>
    <definedName name="_xlnm.Print_Titles" localSheetId="5">'6_Debasis_Dash'!$7:$7</definedName>
    <definedName name="_xlnm.Print_Area" localSheetId="5">'6_Debasis_Dash'!$A$1:$H$81</definedName>
    <definedName name="_xlnm.Print_Titles" localSheetId="6">'7_Marks_Summary'!$3:$3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3"/>
    </font>
    <font>
      <b val="1"/>
      <color rgb="00FFFFFF"/>
      <sz val="9"/>
    </font>
    <font>
      <i val="1"/>
      <color rgb="00333333"/>
      <sz val="9"/>
    </font>
    <font>
      <b val="1"/>
      <i val="1"/>
      <color rgb="001F5C99"/>
      <sz val="9"/>
    </font>
    <font>
      <b val="1"/>
      <color rgb="00111111"/>
      <sz val="8"/>
    </font>
    <font>
      <b val="1"/>
      <sz val="9"/>
    </font>
    <font>
      <b val="1"/>
      <sz val="10"/>
    </font>
    <font>
      <b val="1"/>
      <sz val="13"/>
    </font>
    <font>
      <b val="1"/>
      <color rgb="00155724"/>
      <sz val="12"/>
    </font>
    <font>
      <sz val="8"/>
    </font>
    <font>
      <i val="1"/>
      <color rgb="00333333"/>
      <sz val="8"/>
    </font>
    <font>
      <color rgb="00333333"/>
      <sz val="8"/>
    </font>
    <font>
      <b val="1"/>
      <sz val="11"/>
    </font>
    <font>
      <b val="1"/>
      <i val="1"/>
      <color rgb="007B3F91"/>
      <sz val="9"/>
    </font>
    <font>
      <b val="1"/>
      <i val="1"/>
      <color rgb="001A7A4A"/>
      <sz val="9"/>
    </font>
    <font>
      <b val="1"/>
      <i val="1"/>
      <color rgb="008B6914"/>
      <sz val="9"/>
    </font>
    <font>
      <b val="1"/>
      <i val="1"/>
      <color rgb="00B5471B"/>
      <sz val="9"/>
    </font>
    <font>
      <b val="1"/>
      <i val="1"/>
      <color rgb="001A3A6B"/>
      <sz val="9"/>
    </font>
    <font>
      <b val="1"/>
      <i val="1"/>
      <color rgb="00333333"/>
      <sz val="9"/>
    </font>
    <font>
      <sz val="9"/>
    </font>
    <font>
      <b val="1"/>
      <color rgb="00FFFFFF"/>
      <sz val="11"/>
    </font>
    <font>
      <i val="1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7B3F91"/>
      </patternFill>
    </fill>
    <fill>
      <patternFill patternType="solid">
        <fgColor rgb="00EFE0F5"/>
      </patternFill>
    </fill>
    <fill>
      <patternFill patternType="solid">
        <fgColor rgb="001A7A4A"/>
      </patternFill>
    </fill>
    <fill>
      <patternFill patternType="solid">
        <fgColor rgb="00D5F0E2"/>
      </patternFill>
    </fill>
    <fill>
      <patternFill patternType="solid">
        <fgColor rgb="008B6914"/>
      </patternFill>
    </fill>
    <fill>
      <patternFill patternType="solid">
        <fgColor rgb="00FFF3CD"/>
      </patternFill>
    </fill>
    <fill>
      <patternFill patternType="solid">
        <fgColor rgb="00B5471B"/>
      </patternFill>
    </fill>
    <fill>
      <patternFill patternType="solid">
        <fgColor rgb="00FAE5DC"/>
      </patternFill>
    </fill>
    <fill>
      <patternFill patternType="solid">
        <fgColor rgb="001A3A6B"/>
      </patternFill>
    </fill>
    <fill>
      <patternFill patternType="solid">
        <fgColor rgb="00E8EAF6"/>
      </patternFill>
    </fill>
    <fill>
      <patternFill patternType="solid">
        <fgColor rgb="002C3E50"/>
      </patternFill>
    </fill>
    <fill>
      <patternFill patternType="solid">
        <fgColor rgb="00EBF5FB"/>
      </patternFill>
    </fill>
  </fills>
  <borders count="7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444444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top" wrapText="1"/>
    </xf>
    <xf numFmtId="0" fontId="12" fillId="3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 wrapText="1"/>
    </xf>
    <xf numFmtId="0" fontId="13" fillId="11" borderId="0" applyAlignment="1" pivotButton="0" quotePrefix="0" xfId="0">
      <alignment horizontal="left" vertical="center" wrapText="1"/>
    </xf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center" wrapText="1"/>
    </xf>
    <xf numFmtId="0" fontId="17" fillId="4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 wrapText="1"/>
    </xf>
    <xf numFmtId="0" fontId="13" fillId="15" borderId="0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 wrapText="1"/>
    </xf>
    <xf numFmtId="0" fontId="4" fillId="17" borderId="0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left" vertical="center"/>
    </xf>
    <xf numFmtId="0" fontId="12" fillId="17" borderId="0" applyAlignment="1" pivotButton="0" quotePrefix="0" xfId="0">
      <alignment horizontal="left" vertical="center" wrapText="1"/>
    </xf>
    <xf numFmtId="0" fontId="13" fillId="17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left" vertical="center"/>
    </xf>
    <xf numFmtId="0" fontId="21" fillId="4" borderId="2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14" fillId="17" borderId="2" applyAlignment="1" pivotButton="0" quotePrefix="0" xfId="0">
      <alignment horizontal="center" vertical="center"/>
    </xf>
    <xf numFmtId="0" fontId="2" fillId="18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center"/>
    </xf>
    <xf numFmtId="0" fontId="21" fillId="5" borderId="2" applyAlignment="1" pivotButton="0" quotePrefix="0" xfId="0">
      <alignment horizontal="left" vertical="center" wrapText="1"/>
    </xf>
    <xf numFmtId="0" fontId="1" fillId="18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center" vertical="center"/>
    </xf>
    <xf numFmtId="0" fontId="23" fillId="19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5C99"/>
    <outlinePr summaryBelow="1" summaryRight="1"/>
    <pageSetUpPr fitToPage="1"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35" customWidth="1" min="8" max="8"/>
  </cols>
  <sheetData>
    <row r="1" ht="20" customHeight="1">
      <c r="A1" s="1" t="inlineStr">
        <is>
          <t>MINI PROJECT EXHIBITION 2026  |  Dynamic System Modeling (702MH0C023)  |  B.Tech Mechatronics Engineering, Semester IV, AY 2025-26  |  NMIMS MPSTME</t>
        </is>
      </c>
    </row>
    <row r="2" ht="30" customHeight="1">
      <c r="A2" s="2" t="inlineStr">
        <is>
          <t>EVALUATOR:   Mr. Kamlesh Panchal          ROLE:   Industry &amp; Manufacturing Expert</t>
        </is>
      </c>
    </row>
    <row r="3" ht="24" customHeight="1">
      <c r="A3" s="3" t="inlineStr">
        <is>
          <t>Session:  MORNING SESSION  |  09:00 AM to 01:00 PM     Date:  25 April 2026 (Saturday)     Venue:  AR/VR Lab, MPSTME, NMIMS</t>
        </is>
      </c>
    </row>
    <row r="4" ht="20" customHeight="1">
      <c r="A4" s="4" t="inlineStr">
        <is>
          <t>ASSESSMENT FOCUS:   Manufacturing viability, scalability, and real-world industry relevance of the mechatronic systems modeled by students.</t>
        </is>
      </c>
    </row>
    <row r="5" ht="18" customHeight="1">
      <c r="A5" s="5" t="inlineStr">
        <is>
          <t>SF-PBL: Assess whether the mathematical model and simulation can inform real manufacturing and engineering decisions for each system.</t>
        </is>
      </c>
    </row>
    <row r="6" ht="22" customHeight="1">
      <c r="A6" s="6" t="inlineStr">
        <is>
          <t>CRITERIA KEY:   C1: System Buildability  |  C2: Scalability &amp; Real-World Fit  |  C3: Engineering Accuracy  |  C4: Individual Technical Q&amp;A</t>
        </is>
      </c>
    </row>
    <row r="7" ht="34" customHeight="1">
      <c r="A7" s="7" t="inlineStr">
        <is>
          <t>Roll No.</t>
        </is>
      </c>
      <c r="B7" s="7" t="inlineStr">
        <is>
          <t>Student Name</t>
        </is>
      </c>
      <c r="C7" s="7" t="inlineStr">
        <is>
          <t>C1
/4</t>
        </is>
      </c>
      <c r="D7" s="7" t="inlineStr">
        <is>
          <t>C2
/4</t>
        </is>
      </c>
      <c r="E7" s="7" t="inlineStr">
        <is>
          <t>C3
/4</t>
        </is>
      </c>
      <c r="F7" s="7" t="inlineStr">
        <is>
          <t>C4
/4</t>
        </is>
      </c>
      <c r="G7" s="7" t="inlineStr">
        <is>
          <t>Total
/16</t>
        </is>
      </c>
      <c r="H7" s="7" t="inlineStr">
        <is>
          <t>Comments / Feedback</t>
        </is>
      </c>
    </row>
    <row r="8" ht="15" customHeight="1">
      <c r="A8" s="8" t="inlineStr">
        <is>
          <t xml:space="preserve">  Group 1   |   Mathematical Modeling and Dynamic Analysis of a Multi-Terrain Four-Wheeled Robot</t>
        </is>
      </c>
    </row>
    <row r="9" ht="22" customHeight="1">
      <c r="A9" s="102" t="inlineStr">
        <is>
          <t>H079</t>
        </is>
      </c>
      <c r="B9" s="10" t="inlineStr">
        <is>
          <t>Student</t>
        </is>
      </c>
      <c r="C9" s="11" t="n">
        <v>3</v>
      </c>
      <c r="D9" s="11" t="n">
        <v>4</v>
      </c>
      <c r="E9" s="11" t="n">
        <v>3</v>
      </c>
      <c r="F9" s="11" t="n">
        <v>4</v>
      </c>
      <c r="G9" s="12">
        <f>SUM(C9:F9)</f>
        <v/>
      </c>
      <c r="H9" s="13" t="inlineStr">
        <is>
          <t>Good effort, but room for refinement.</t>
        </is>
      </c>
    </row>
    <row r="10" ht="22" customHeight="1">
      <c r="A10" s="102" t="inlineStr">
        <is>
          <t>H082</t>
        </is>
      </c>
      <c r="B10" s="10" t="inlineStr">
        <is>
          <t>Student</t>
        </is>
      </c>
      <c r="C10" s="11" t="n">
        <v>4</v>
      </c>
      <c r="D10" s="11" t="n">
        <v>4</v>
      </c>
      <c r="E10" s="11" t="n">
        <v>4</v>
      </c>
      <c r="F10" s="11" t="n">
        <v>4</v>
      </c>
      <c r="G10" s="12">
        <f>SUM(C10:F10)</f>
        <v/>
      </c>
      <c r="H10" s="13" t="inlineStr">
        <is>
          <t>Excellent work! Clear and well-presented.</t>
        </is>
      </c>
    </row>
    <row r="11" ht="22" customHeight="1">
      <c r="A11" s="105" t="inlineStr">
        <is>
          <t>H084</t>
        </is>
      </c>
      <c r="B11" s="15" t="inlineStr">
        <is>
          <t>Student</t>
        </is>
      </c>
      <c r="C11" s="16" t="n">
        <v>3</v>
      </c>
      <c r="D11" s="16" t="n">
        <v>4</v>
      </c>
      <c r="E11" s="16" t="n">
        <v>3</v>
      </c>
      <c r="F11" s="16" t="n">
        <v>4</v>
      </c>
      <c r="G11" s="17">
        <f>SUM(C11:F11)</f>
        <v/>
      </c>
      <c r="H11" s="18" t="inlineStr">
        <is>
          <t>Good effort, but room for refinement.</t>
        </is>
      </c>
    </row>
    <row r="12" ht="15" customHeight="1">
      <c r="A12" s="8" t="inlineStr">
        <is>
          <t xml:space="preserve">  Group 2   |   Modeling Rocket Landing - Docking</t>
        </is>
      </c>
    </row>
    <row r="13" ht="22" customHeight="1">
      <c r="A13" s="82" t="inlineStr">
        <is>
          <t>H004</t>
        </is>
      </c>
      <c r="B13" s="20" t="inlineStr">
        <is>
          <t>Student</t>
        </is>
      </c>
      <c r="C13" s="11" t="n">
        <v>3</v>
      </c>
      <c r="D13" s="11" t="n">
        <v>3</v>
      </c>
      <c r="E13" s="11" t="n">
        <v>4</v>
      </c>
      <c r="F13" s="11" t="n">
        <v>4</v>
      </c>
      <c r="G13" s="12">
        <f>SUM(C13:F13)</f>
        <v/>
      </c>
      <c r="H13" s="21" t="inlineStr">
        <is>
          <t>Good effort, but room for refinement.</t>
        </is>
      </c>
    </row>
    <row r="14" ht="22" customHeight="1">
      <c r="A14" s="82" t="inlineStr">
        <is>
          <t>H005</t>
        </is>
      </c>
      <c r="B14" s="20" t="inlineStr">
        <is>
          <t>Student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2">
        <f>SUM(C14:F14)</f>
        <v/>
      </c>
      <c r="H14" s="21" t="inlineStr">
        <is>
          <t>Absent throughout.</t>
        </is>
      </c>
    </row>
    <row r="15" ht="22" customHeight="1">
      <c r="A15" s="82" t="inlineStr">
        <is>
          <t>H028</t>
        </is>
      </c>
      <c r="B15" s="20" t="inlineStr">
        <is>
          <t>Student</t>
        </is>
      </c>
      <c r="C15" s="11" t="n">
        <v>4</v>
      </c>
      <c r="D15" s="11" t="n">
        <v>3</v>
      </c>
      <c r="E15" s="11" t="n">
        <v>4</v>
      </c>
      <c r="F15" s="11" t="n">
        <v>3</v>
      </c>
      <c r="G15" s="12">
        <f>SUM(C15:F15)</f>
        <v/>
      </c>
      <c r="H15" s="21" t="inlineStr">
        <is>
          <t>Good effort, but room for refinement.</t>
        </is>
      </c>
    </row>
    <row r="16" ht="22" customHeight="1">
      <c r="A16" s="92" t="inlineStr">
        <is>
          <t>H031</t>
        </is>
      </c>
      <c r="B16" s="23" t="inlineStr">
        <is>
          <t>Student</t>
        </is>
      </c>
      <c r="C16" s="16" t="n">
        <v>4</v>
      </c>
      <c r="D16" s="16" t="n">
        <v>3</v>
      </c>
      <c r="E16" s="16" t="n">
        <v>3</v>
      </c>
      <c r="F16" s="16" t="n">
        <v>4</v>
      </c>
      <c r="G16" s="17">
        <f>SUM(C16:F16)</f>
        <v/>
      </c>
      <c r="H16" s="24" t="inlineStr">
        <is>
          <t>Good effort, but room for refinement.</t>
        </is>
      </c>
    </row>
    <row r="17" ht="15" customHeight="1">
      <c r="A17" s="8" t="inlineStr">
        <is>
          <t xml:space="preserve">  Group 3   |   Dynamic Modeling and Stability Analysis of 2-DOF Leg Mechanism for Quadruped Robot</t>
        </is>
      </c>
    </row>
    <row r="18" ht="22" customHeight="1">
      <c r="A18" s="102" t="inlineStr">
        <is>
          <t>H009</t>
        </is>
      </c>
      <c r="B18" s="10" t="inlineStr">
        <is>
          <t>Student</t>
        </is>
      </c>
      <c r="C18" s="11" t="n">
        <v>4</v>
      </c>
      <c r="D18" s="11" t="n">
        <v>4</v>
      </c>
      <c r="E18" s="11" t="n">
        <v>3</v>
      </c>
      <c r="F18" s="11" t="n">
        <v>4</v>
      </c>
      <c r="G18" s="12">
        <f>SUM(C18:F18)</f>
        <v/>
      </c>
      <c r="H18" s="13" t="inlineStr">
        <is>
          <t>Good effort, but room for refinement.</t>
        </is>
      </c>
    </row>
    <row r="19" ht="22" customHeight="1">
      <c r="A19" s="102" t="inlineStr">
        <is>
          <t>H012</t>
        </is>
      </c>
      <c r="B19" s="10" t="inlineStr">
        <is>
          <t>Student</t>
        </is>
      </c>
      <c r="C19" s="11" t="n">
        <v>3</v>
      </c>
      <c r="D19" s="11" t="n">
        <v>4</v>
      </c>
      <c r="E19" s="11" t="n">
        <v>3</v>
      </c>
      <c r="F19" s="11" t="n">
        <v>4</v>
      </c>
      <c r="G19" s="12">
        <f>SUM(C19:F19)</f>
        <v/>
      </c>
      <c r="H19" s="13" t="inlineStr">
        <is>
          <t>Good effort, but room for refinement.</t>
        </is>
      </c>
    </row>
    <row r="20" ht="22" customHeight="1">
      <c r="A20" s="105" t="inlineStr">
        <is>
          <t>H033</t>
        </is>
      </c>
      <c r="B20" s="15" t="inlineStr">
        <is>
          <t>Student</t>
        </is>
      </c>
      <c r="C20" s="16" t="n">
        <v>3</v>
      </c>
      <c r="D20" s="16" t="n">
        <v>3</v>
      </c>
      <c r="E20" s="16" t="n">
        <v>4</v>
      </c>
      <c r="F20" s="16" t="n">
        <v>4</v>
      </c>
      <c r="G20" s="17">
        <f>SUM(C20:F20)</f>
        <v/>
      </c>
      <c r="H20" s="18" t="inlineStr">
        <is>
          <t>Good effort, but room for refinement.</t>
        </is>
      </c>
    </row>
    <row r="21" ht="15" customHeight="1">
      <c r="A21" s="8" t="inlineStr">
        <is>
          <t xml:space="preserve">  Group 4   |   Critical Skid Velocity Mathematical Modeling</t>
        </is>
      </c>
    </row>
    <row r="22" ht="22" customHeight="1">
      <c r="A22" s="82" t="inlineStr">
        <is>
          <t>H014</t>
        </is>
      </c>
      <c r="B22" s="20" t="inlineStr">
        <is>
          <t>Student</t>
        </is>
      </c>
      <c r="C22" s="11" t="n">
        <v>3</v>
      </c>
      <c r="D22" s="11" t="n">
        <v>3</v>
      </c>
      <c r="E22" s="11" t="n">
        <v>1</v>
      </c>
      <c r="F22" s="11" t="n">
        <v>4</v>
      </c>
      <c r="G22" s="12">
        <f>SUM(C22:F22)</f>
        <v/>
      </c>
      <c r="H22" s="21" t="inlineStr">
        <is>
          <t>Missing key simulation/validation components.</t>
        </is>
      </c>
    </row>
    <row r="23" ht="22" customHeight="1">
      <c r="A23" s="82" t="inlineStr">
        <is>
          <t>H015</t>
        </is>
      </c>
      <c r="B23" s="20" t="inlineStr">
        <is>
          <t>Student</t>
        </is>
      </c>
      <c r="C23" s="11" t="n">
        <v>3</v>
      </c>
      <c r="D23" s="11" t="n">
        <v>3</v>
      </c>
      <c r="E23" s="11" t="n">
        <v>1</v>
      </c>
      <c r="F23" s="11" t="n">
        <v>4</v>
      </c>
      <c r="G23" s="12">
        <f>SUM(C23:F23)</f>
        <v/>
      </c>
      <c r="H23" s="21" t="inlineStr">
        <is>
          <t>Missing key simulation/validation components.</t>
        </is>
      </c>
    </row>
    <row r="24" ht="22" customHeight="1">
      <c r="A24" s="82" t="inlineStr">
        <is>
          <t>H016</t>
        </is>
      </c>
      <c r="B24" s="20" t="inlineStr">
        <is>
          <t>Student</t>
        </is>
      </c>
      <c r="C24" s="11" t="n">
        <v>3</v>
      </c>
      <c r="D24" s="11" t="n">
        <v>3</v>
      </c>
      <c r="E24" s="11" t="n">
        <v>1</v>
      </c>
      <c r="F24" s="11" t="n">
        <v>4</v>
      </c>
      <c r="G24" s="12">
        <f>SUM(C24:F24)</f>
        <v/>
      </c>
      <c r="H24" s="21" t="inlineStr">
        <is>
          <t>Missing key simulation/validation components.</t>
        </is>
      </c>
    </row>
    <row r="25" ht="22" customHeight="1">
      <c r="A25" s="92" t="inlineStr">
        <is>
          <t>H025</t>
        </is>
      </c>
      <c r="B25" s="23" t="inlineStr">
        <is>
          <t>Student</t>
        </is>
      </c>
      <c r="C25" s="16" t="n">
        <v>4</v>
      </c>
      <c r="D25" s="16" t="n">
        <v>4</v>
      </c>
      <c r="E25" s="16" t="n">
        <v>1</v>
      </c>
      <c r="F25" s="16" t="n">
        <v>4</v>
      </c>
      <c r="G25" s="17">
        <f>SUM(C25:F25)</f>
        <v/>
      </c>
      <c r="H25" s="24" t="inlineStr">
        <is>
          <t>Missing key simulation/validation components.</t>
        </is>
      </c>
    </row>
    <row r="26" ht="15" customHeight="1">
      <c r="A26" s="8" t="inlineStr">
        <is>
          <t xml:space="preserve">  Group 5   |   Humanoid Robot - Dynamic Modeling</t>
        </is>
      </c>
    </row>
    <row r="27" ht="22" customHeight="1">
      <c r="A27" s="102" t="inlineStr">
        <is>
          <t>H003</t>
        </is>
      </c>
      <c r="B27" s="10" t="inlineStr">
        <is>
          <t>Student</t>
        </is>
      </c>
      <c r="C27" s="11" t="n">
        <v>3</v>
      </c>
      <c r="D27" s="11" t="n">
        <v>4</v>
      </c>
      <c r="E27" s="11" t="n">
        <v>3</v>
      </c>
      <c r="F27" s="11" t="n">
        <v>4</v>
      </c>
      <c r="G27" s="12">
        <f>SUM(C27:F27)</f>
        <v/>
      </c>
      <c r="H27" s="13" t="inlineStr">
        <is>
          <t>Good effort, but room for refinement.</t>
        </is>
      </c>
    </row>
    <row r="28" ht="22" customHeight="1">
      <c r="A28" s="102" t="inlineStr">
        <is>
          <t>H006</t>
        </is>
      </c>
      <c r="B28" s="10" t="inlineStr">
        <is>
          <t>Student</t>
        </is>
      </c>
      <c r="C28" s="11" t="n">
        <v>4</v>
      </c>
      <c r="D28" s="11" t="n">
        <v>4</v>
      </c>
      <c r="E28" s="11" t="n">
        <v>3</v>
      </c>
      <c r="F28" s="11" t="n">
        <v>3</v>
      </c>
      <c r="G28" s="12">
        <f>SUM(C28:F28)</f>
        <v/>
      </c>
      <c r="H28" s="13" t="inlineStr">
        <is>
          <t>Good effort, but room for refinement.</t>
        </is>
      </c>
    </row>
    <row r="29" ht="22" customHeight="1">
      <c r="A29" s="102" t="inlineStr">
        <is>
          <t>H024</t>
        </is>
      </c>
      <c r="B29" s="10" t="inlineStr">
        <is>
          <t>Student</t>
        </is>
      </c>
      <c r="C29" s="11" t="n">
        <v>3</v>
      </c>
      <c r="D29" s="11" t="n">
        <v>4</v>
      </c>
      <c r="E29" s="11" t="n">
        <v>4</v>
      </c>
      <c r="F29" s="11" t="n">
        <v>4</v>
      </c>
      <c r="G29" s="12">
        <f>SUM(C29:F29)</f>
        <v/>
      </c>
      <c r="H29" s="13" t="inlineStr">
        <is>
          <t>Good effort, but room for refinement.</t>
        </is>
      </c>
    </row>
    <row r="30" ht="22" customHeight="1">
      <c r="A30" s="105" t="inlineStr">
        <is>
          <t>H029</t>
        </is>
      </c>
      <c r="B30" s="15" t="inlineStr">
        <is>
          <t>Student</t>
        </is>
      </c>
      <c r="C30" s="16" t="n">
        <v>4</v>
      </c>
      <c r="D30" s="16" t="n">
        <v>3</v>
      </c>
      <c r="E30" s="16" t="n">
        <v>4</v>
      </c>
      <c r="F30" s="16" t="n">
        <v>4</v>
      </c>
      <c r="G30" s="17">
        <f>SUM(C30:F30)</f>
        <v/>
      </c>
      <c r="H30" s="18" t="inlineStr">
        <is>
          <t>Good effort, but room for refinement.</t>
        </is>
      </c>
    </row>
    <row r="31" ht="15" customHeight="1">
      <c r="A31" s="8" t="inlineStr">
        <is>
          <t xml:space="preserve">  Group 6   |   Dynamic Modeling of Hydrogen Fuel Cell-Battery Hybrid Powertrain for Electric UAV</t>
        </is>
      </c>
    </row>
    <row r="32" ht="22" customHeight="1">
      <c r="A32" s="82" t="inlineStr">
        <is>
          <t>H001</t>
        </is>
      </c>
      <c r="B32" s="20" t="inlineStr">
        <is>
          <t>Student</t>
        </is>
      </c>
      <c r="C32" s="11" t="n">
        <v>3</v>
      </c>
      <c r="D32" s="11" t="n">
        <v>3</v>
      </c>
      <c r="E32" s="11" t="n">
        <v>1</v>
      </c>
      <c r="F32" s="11" t="n">
        <v>4</v>
      </c>
      <c r="G32" s="12">
        <f>SUM(C32:F32)</f>
        <v/>
      </c>
      <c r="H32" s="21" t="inlineStr">
        <is>
          <t>Missing key simulation/validation components.</t>
        </is>
      </c>
    </row>
    <row r="33" ht="22" customHeight="1">
      <c r="A33" s="92" t="inlineStr">
        <is>
          <t>H002</t>
        </is>
      </c>
      <c r="B33" s="23" t="inlineStr">
        <is>
          <t>Student</t>
        </is>
      </c>
      <c r="C33" s="16" t="n">
        <v>4</v>
      </c>
      <c r="D33" s="16" t="n">
        <v>3</v>
      </c>
      <c r="E33" s="16" t="n">
        <v>1</v>
      </c>
      <c r="F33" s="16" t="n">
        <v>3</v>
      </c>
      <c r="G33" s="17">
        <f>SUM(C33:F33)</f>
        <v/>
      </c>
      <c r="H33" s="24" t="inlineStr">
        <is>
          <t>Missing key simulation/validation components.</t>
        </is>
      </c>
    </row>
    <row r="34" ht="15" customHeight="1">
      <c r="A34" s="8" t="inlineStr">
        <is>
          <t xml:space="preserve">  Group 7   |   Hexapod Robot - Mathematical Modeling</t>
        </is>
      </c>
    </row>
    <row r="35" ht="22" customHeight="1">
      <c r="A35" s="102" t="inlineStr">
        <is>
          <t>H021</t>
        </is>
      </c>
      <c r="B35" s="10" t="inlineStr">
        <is>
          <t>Student</t>
        </is>
      </c>
      <c r="C35" s="11" t="n">
        <v>4</v>
      </c>
      <c r="D35" s="11" t="n">
        <v>4</v>
      </c>
      <c r="E35" s="11" t="n">
        <v>3</v>
      </c>
      <c r="F35" s="11" t="n">
        <v>4</v>
      </c>
      <c r="G35" s="12">
        <f>SUM(C35:F35)</f>
        <v/>
      </c>
      <c r="H35" s="13" t="inlineStr">
        <is>
          <t>Good effort, but room for refinement.</t>
        </is>
      </c>
    </row>
    <row r="36" ht="22" customHeight="1">
      <c r="A36" s="102" t="inlineStr">
        <is>
          <t>H022</t>
        </is>
      </c>
      <c r="B36" s="10" t="inlineStr">
        <is>
          <t>Student</t>
        </is>
      </c>
      <c r="C36" s="11" t="n">
        <v>4</v>
      </c>
      <c r="D36" s="11" t="n">
        <v>3</v>
      </c>
      <c r="E36" s="11" t="n">
        <v>3</v>
      </c>
      <c r="F36" s="11" t="n">
        <v>3</v>
      </c>
      <c r="G36" s="12">
        <f>SUM(C36:F36)</f>
        <v/>
      </c>
      <c r="H36" s="13" t="inlineStr">
        <is>
          <t>Good effort, but room for refinement.</t>
        </is>
      </c>
    </row>
    <row r="37" ht="22" customHeight="1">
      <c r="A37" s="105" t="inlineStr">
        <is>
          <t>H023</t>
        </is>
      </c>
      <c r="B37" s="15" t="inlineStr">
        <is>
          <t>Student</t>
        </is>
      </c>
      <c r="C37" s="16" t="n">
        <v>3</v>
      </c>
      <c r="D37" s="16" t="n">
        <v>3</v>
      </c>
      <c r="E37" s="16" t="n">
        <v>3</v>
      </c>
      <c r="F37" s="16" t="n">
        <v>4</v>
      </c>
      <c r="G37" s="17">
        <f>SUM(C37:F37)</f>
        <v/>
      </c>
      <c r="H37" s="18" t="inlineStr">
        <is>
          <t>Good effort, but room for refinement.</t>
        </is>
      </c>
    </row>
    <row r="38" ht="15" customHeight="1">
      <c r="A38" s="8" t="inlineStr">
        <is>
          <t xml:space="preserve">  Group 8   |   Mathematical Modeling and Dynamics of Ball Balancing Robot using 6-DOF Stewart Mechanism</t>
        </is>
      </c>
    </row>
    <row r="39" ht="22" customHeight="1">
      <c r="A39" s="82" t="inlineStr">
        <is>
          <t>H059</t>
        </is>
      </c>
      <c r="B39" s="20" t="inlineStr">
        <is>
          <t>Student</t>
        </is>
      </c>
      <c r="C39" s="11" t="n">
        <v>4</v>
      </c>
      <c r="D39" s="11" t="n">
        <v>3</v>
      </c>
      <c r="E39" s="11" t="n">
        <v>4</v>
      </c>
      <c r="F39" s="11" t="n">
        <v>4</v>
      </c>
      <c r="G39" s="12">
        <f>SUM(C39:F39)</f>
        <v/>
      </c>
      <c r="H39" s="21" t="inlineStr">
        <is>
          <t>Good effort, but room for refinement.</t>
        </is>
      </c>
    </row>
    <row r="40" ht="22" customHeight="1">
      <c r="A40" s="82" t="inlineStr">
        <is>
          <t>H060</t>
        </is>
      </c>
      <c r="B40" s="20" t="inlineStr">
        <is>
          <t>Student</t>
        </is>
      </c>
      <c r="C40" s="11" t="n">
        <v>4</v>
      </c>
      <c r="D40" s="11" t="n">
        <v>4</v>
      </c>
      <c r="E40" s="11" t="n">
        <v>4</v>
      </c>
      <c r="F40" s="11" t="n">
        <v>3</v>
      </c>
      <c r="G40" s="12">
        <f>SUM(C40:F40)</f>
        <v/>
      </c>
      <c r="H40" s="21" t="inlineStr">
        <is>
          <t>Excellent work! Clear and well-presented.</t>
        </is>
      </c>
    </row>
    <row r="41" ht="22" customHeight="1">
      <c r="A41" s="92" t="inlineStr">
        <is>
          <t>H062</t>
        </is>
      </c>
      <c r="B41" s="23" t="inlineStr">
        <is>
          <t>Student</t>
        </is>
      </c>
      <c r="C41" s="16" t="n">
        <v>4</v>
      </c>
      <c r="D41" s="16" t="n">
        <v>3</v>
      </c>
      <c r="E41" s="16" t="n">
        <v>4</v>
      </c>
      <c r="F41" s="16" t="n">
        <v>4</v>
      </c>
      <c r="G41" s="17">
        <f>SUM(C41:F41)</f>
        <v/>
      </c>
      <c r="H41" s="24" t="inlineStr">
        <is>
          <t>Good effort, but room for refinement.</t>
        </is>
      </c>
    </row>
    <row r="42" ht="15" customHeight="1">
      <c r="A42" s="8" t="inlineStr">
        <is>
          <t xml:space="preserve">  Group 9   |   Dynamic Modelling of Sensor-Integrated Remotely Operated Underwater Vehicle (ROV)</t>
        </is>
      </c>
    </row>
    <row r="43" ht="22" customHeight="1">
      <c r="A43" s="102" t="inlineStr">
        <is>
          <t>H035</t>
        </is>
      </c>
      <c r="B43" s="10" t="inlineStr">
        <is>
          <t>Student</t>
        </is>
      </c>
      <c r="C43" s="11" t="n">
        <v>3</v>
      </c>
      <c r="D43" s="11" t="n">
        <v>3</v>
      </c>
      <c r="E43" s="11" t="n">
        <v>4</v>
      </c>
      <c r="F43" s="11" t="n">
        <v>4</v>
      </c>
      <c r="G43" s="12">
        <f>SUM(C43:F43)</f>
        <v/>
      </c>
      <c r="H43" s="13" t="inlineStr">
        <is>
          <t>Good effort, but room for refinement.</t>
        </is>
      </c>
    </row>
    <row r="44" ht="22" customHeight="1">
      <c r="A44" s="102" t="inlineStr">
        <is>
          <t>H040</t>
        </is>
      </c>
      <c r="B44" s="10" t="inlineStr">
        <is>
          <t>Student</t>
        </is>
      </c>
      <c r="C44" s="11" t="n">
        <v>4</v>
      </c>
      <c r="D44" s="11" t="n">
        <v>4</v>
      </c>
      <c r="E44" s="11" t="n">
        <v>4</v>
      </c>
      <c r="F44" s="11" t="n">
        <v>4</v>
      </c>
      <c r="G44" s="12">
        <f>SUM(C44:F44)</f>
        <v/>
      </c>
      <c r="H44" s="13" t="inlineStr">
        <is>
          <t>Excellent work! Clear and well-presented.</t>
        </is>
      </c>
    </row>
    <row r="45" ht="22" customHeight="1">
      <c r="A45" s="102" t="inlineStr">
        <is>
          <t>H046</t>
        </is>
      </c>
      <c r="B45" s="10" t="inlineStr">
        <is>
          <t>Student</t>
        </is>
      </c>
      <c r="C45" s="11" t="n">
        <v>4</v>
      </c>
      <c r="D45" s="11" t="n">
        <v>4</v>
      </c>
      <c r="E45" s="11" t="n">
        <v>3</v>
      </c>
      <c r="F45" s="11" t="n">
        <v>3</v>
      </c>
      <c r="G45" s="12">
        <f>SUM(C45:F45)</f>
        <v/>
      </c>
      <c r="H45" s="13" t="inlineStr">
        <is>
          <t>Good effort, but room for refinement.</t>
        </is>
      </c>
    </row>
    <row r="46" ht="22" customHeight="1">
      <c r="A46" s="105" t="inlineStr">
        <is>
          <t>H047</t>
        </is>
      </c>
      <c r="B46" s="15" t="inlineStr">
        <is>
          <t>Student</t>
        </is>
      </c>
      <c r="C46" s="16" t="n">
        <v>4</v>
      </c>
      <c r="D46" s="16" t="n">
        <v>3</v>
      </c>
      <c r="E46" s="16" t="n">
        <v>3</v>
      </c>
      <c r="F46" s="16" t="n">
        <v>4</v>
      </c>
      <c r="G46" s="17">
        <f>SUM(C46:F46)</f>
        <v/>
      </c>
      <c r="H46" s="18" t="inlineStr">
        <is>
          <t>Good effort, but room for refinement.</t>
        </is>
      </c>
    </row>
    <row r="47" ht="15" customHeight="1">
      <c r="A47" s="8" t="inlineStr">
        <is>
          <t xml:space="preserve">  Group 10   |   Mathematical Modeling of Motors</t>
        </is>
      </c>
    </row>
    <row r="48" ht="22" customHeight="1">
      <c r="A48" s="82" t="inlineStr">
        <is>
          <t>H036</t>
        </is>
      </c>
      <c r="B48" s="20" t="inlineStr">
        <is>
          <t>Student</t>
        </is>
      </c>
      <c r="C48" s="11" t="n">
        <v>3</v>
      </c>
      <c r="D48" s="11" t="n">
        <v>4</v>
      </c>
      <c r="E48" s="11" t="n">
        <v>4</v>
      </c>
      <c r="F48" s="11" t="n">
        <v>4</v>
      </c>
      <c r="G48" s="12">
        <f>SUM(C48:F48)</f>
        <v/>
      </c>
      <c r="H48" s="21" t="inlineStr">
        <is>
          <t>Good effort, but room for refinement.</t>
        </is>
      </c>
    </row>
    <row r="49" ht="22" customHeight="1">
      <c r="A49" s="82" t="inlineStr">
        <is>
          <t>H050</t>
        </is>
      </c>
      <c r="B49" s="20" t="inlineStr">
        <is>
          <t>Student</t>
        </is>
      </c>
      <c r="C49" s="11" t="n">
        <v>3</v>
      </c>
      <c r="D49" s="11" t="n">
        <v>4</v>
      </c>
      <c r="E49" s="11" t="n">
        <v>4</v>
      </c>
      <c r="F49" s="11" t="n">
        <v>3</v>
      </c>
      <c r="G49" s="12">
        <f>SUM(C49:F49)</f>
        <v/>
      </c>
      <c r="H49" s="21" t="inlineStr">
        <is>
          <t>Good effort, but room for refinement.</t>
        </is>
      </c>
    </row>
    <row r="50" ht="22" customHeight="1">
      <c r="A50" s="82" t="inlineStr">
        <is>
          <t>H051</t>
        </is>
      </c>
      <c r="B50" s="20" t="inlineStr">
        <is>
          <t>Student</t>
        </is>
      </c>
      <c r="C50" s="11" t="n">
        <v>4</v>
      </c>
      <c r="D50" s="11" t="n">
        <v>4</v>
      </c>
      <c r="E50" s="11" t="n">
        <v>3</v>
      </c>
      <c r="F50" s="11" t="n">
        <v>4</v>
      </c>
      <c r="G50" s="12">
        <f>SUM(C50:F50)</f>
        <v/>
      </c>
      <c r="H50" s="21" t="inlineStr">
        <is>
          <t>Good effort, but room for refinement.</t>
        </is>
      </c>
    </row>
    <row r="51" ht="22" customHeight="1">
      <c r="A51" s="92" t="inlineStr">
        <is>
          <t>H052</t>
        </is>
      </c>
      <c r="B51" s="23" t="inlineStr">
        <is>
          <t>Student</t>
        </is>
      </c>
      <c r="C51" s="16" t="n">
        <v>4</v>
      </c>
      <c r="D51" s="16" t="n">
        <v>3</v>
      </c>
      <c r="E51" s="16" t="n">
        <v>3</v>
      </c>
      <c r="F51" s="16" t="n">
        <v>3</v>
      </c>
      <c r="G51" s="17">
        <f>SUM(C51:F51)</f>
        <v/>
      </c>
      <c r="H51" s="24" t="inlineStr">
        <is>
          <t>Good effort, but room for refinement.</t>
        </is>
      </c>
    </row>
    <row r="52" ht="15" customHeight="1">
      <c r="A52" s="8" t="inlineStr">
        <is>
          <t xml:space="preserve">  Group 11   |   Digital Twin (DT) of Motors</t>
        </is>
      </c>
    </row>
    <row r="53" ht="22" customHeight="1">
      <c r="A53" s="102" t="inlineStr">
        <is>
          <t>H020</t>
        </is>
      </c>
      <c r="B53" s="10" t="inlineStr">
        <is>
          <t>Student</t>
        </is>
      </c>
      <c r="C53" s="11" t="n">
        <v>4</v>
      </c>
      <c r="D53" s="11" t="n">
        <v>3</v>
      </c>
      <c r="E53" s="11" t="n">
        <v>4</v>
      </c>
      <c r="F53" s="11" t="n">
        <v>4</v>
      </c>
      <c r="G53" s="12">
        <f>SUM(C53:F53)</f>
        <v/>
      </c>
      <c r="H53" s="13" t="inlineStr">
        <is>
          <t>Good effort, but room for refinement.</t>
        </is>
      </c>
    </row>
    <row r="54" ht="22" customHeight="1">
      <c r="A54" s="105" t="inlineStr">
        <is>
          <t>H096</t>
        </is>
      </c>
      <c r="B54" s="15" t="inlineStr">
        <is>
          <t>Student</t>
        </is>
      </c>
      <c r="C54" s="16" t="n">
        <v>3</v>
      </c>
      <c r="D54" s="16" t="n">
        <v>3</v>
      </c>
      <c r="E54" s="16" t="n">
        <v>3</v>
      </c>
      <c r="F54" s="16" t="n">
        <v>4</v>
      </c>
      <c r="G54" s="17">
        <f>SUM(C54:F54)</f>
        <v/>
      </c>
      <c r="H54" s="18" t="inlineStr">
        <is>
          <t>Good effort, but room for refinement.</t>
        </is>
      </c>
    </row>
    <row r="55" ht="15" customHeight="1">
      <c r="A55" s="8" t="inlineStr">
        <is>
          <t xml:space="preserve">  Group 12   |   Mathematical Modeling for Robotic Gripper Mechanism</t>
        </is>
      </c>
    </row>
    <row r="56" ht="22" customHeight="1">
      <c r="A56" s="82" t="inlineStr">
        <is>
          <t>H076</t>
        </is>
      </c>
      <c r="B56" s="20" t="inlineStr">
        <is>
          <t>Student</t>
        </is>
      </c>
      <c r="C56" s="11" t="n">
        <v>3</v>
      </c>
      <c r="D56" s="11" t="n">
        <v>3</v>
      </c>
      <c r="E56" s="11" t="n">
        <v>3</v>
      </c>
      <c r="F56" s="11" t="n">
        <v>4</v>
      </c>
      <c r="G56" s="12">
        <f>SUM(C56:F56)</f>
        <v/>
      </c>
      <c r="H56" s="21" t="inlineStr">
        <is>
          <t>Good effort, but room for refinement.</t>
        </is>
      </c>
    </row>
    <row r="57" ht="22" customHeight="1">
      <c r="A57" s="82" t="inlineStr">
        <is>
          <t>H078</t>
        </is>
      </c>
      <c r="B57" s="20" t="inlineStr">
        <is>
          <t>Student</t>
        </is>
      </c>
      <c r="C57" s="11" t="n">
        <v>3</v>
      </c>
      <c r="D57" s="11" t="n">
        <v>4</v>
      </c>
      <c r="E57" s="11" t="n">
        <v>4</v>
      </c>
      <c r="F57" s="11" t="n">
        <v>4</v>
      </c>
      <c r="G57" s="12">
        <f>SUM(C57:F57)</f>
        <v/>
      </c>
      <c r="H57" s="21" t="inlineStr">
        <is>
          <t>Good effort, but room for refinement.</t>
        </is>
      </c>
    </row>
    <row r="58" ht="22" customHeight="1">
      <c r="A58" s="92" t="inlineStr">
        <is>
          <t>H088</t>
        </is>
      </c>
      <c r="B58" s="23" t="inlineStr">
        <is>
          <t>Student</t>
        </is>
      </c>
      <c r="C58" s="16" t="n">
        <v>3</v>
      </c>
      <c r="D58" s="16" t="n">
        <v>3</v>
      </c>
      <c r="E58" s="16" t="n">
        <v>4</v>
      </c>
      <c r="F58" s="16" t="n">
        <v>4</v>
      </c>
      <c r="G58" s="17">
        <f>SUM(C58:F58)</f>
        <v/>
      </c>
      <c r="H58" s="24" t="inlineStr">
        <is>
          <t>Good effort, but room for refinement.</t>
        </is>
      </c>
    </row>
    <row r="59" ht="15" customHeight="1">
      <c r="A59" s="8" t="inlineStr">
        <is>
          <t xml:space="preserve">  Group 13   |   Modeling Energy Loss in a Shock Absorber</t>
        </is>
      </c>
    </row>
    <row r="60" ht="22" customHeight="1">
      <c r="A60" s="102" t="inlineStr">
        <is>
          <t>H068</t>
        </is>
      </c>
      <c r="B60" s="10" t="inlineStr">
        <is>
          <t>Student</t>
        </is>
      </c>
      <c r="C60" s="11" t="n">
        <v>3</v>
      </c>
      <c r="D60" s="11" t="n">
        <v>4</v>
      </c>
      <c r="E60" s="11" t="n">
        <v>3</v>
      </c>
      <c r="F60" s="11" t="n">
        <v>4</v>
      </c>
      <c r="G60" s="12">
        <f>SUM(C60:F60)</f>
        <v/>
      </c>
      <c r="H60" s="13" t="inlineStr">
        <is>
          <t>Good effort, but room for refinement.</t>
        </is>
      </c>
    </row>
    <row r="61" ht="22" customHeight="1">
      <c r="A61" s="102" t="inlineStr">
        <is>
          <t>H071</t>
        </is>
      </c>
      <c r="B61" s="10" t="inlineStr">
        <is>
          <t>Student</t>
        </is>
      </c>
      <c r="C61" s="11" t="n">
        <v>3</v>
      </c>
      <c r="D61" s="11" t="n">
        <v>4</v>
      </c>
      <c r="E61" s="11" t="n">
        <v>4</v>
      </c>
      <c r="F61" s="11" t="n">
        <v>3</v>
      </c>
      <c r="G61" s="12">
        <f>SUM(C61:F61)</f>
        <v/>
      </c>
      <c r="H61" s="13" t="inlineStr">
        <is>
          <t>Good effort, but room for refinement.</t>
        </is>
      </c>
    </row>
    <row r="62" ht="22" customHeight="1">
      <c r="A62" s="102" t="inlineStr">
        <is>
          <t>H086</t>
        </is>
      </c>
      <c r="B62" s="10" t="inlineStr">
        <is>
          <t>Student</t>
        </is>
      </c>
      <c r="C62" s="11" t="n">
        <v>4</v>
      </c>
      <c r="D62" s="11" t="n">
        <v>4</v>
      </c>
      <c r="E62" s="11" t="n">
        <v>3</v>
      </c>
      <c r="F62" s="11" t="n">
        <v>4</v>
      </c>
      <c r="G62" s="12">
        <f>SUM(C62:F62)</f>
        <v/>
      </c>
      <c r="H62" s="13" t="inlineStr">
        <is>
          <t>Good effort, but room for refinement.</t>
        </is>
      </c>
    </row>
    <row r="63" ht="22" customHeight="1">
      <c r="A63" s="105" t="inlineStr">
        <is>
          <t>H097</t>
        </is>
      </c>
      <c r="B63" s="15" t="inlineStr">
        <is>
          <t>Student</t>
        </is>
      </c>
      <c r="C63" s="16" t="n">
        <v>3</v>
      </c>
      <c r="D63" s="16" t="n">
        <v>4</v>
      </c>
      <c r="E63" s="16" t="n">
        <v>3</v>
      </c>
      <c r="F63" s="16" t="n">
        <v>4</v>
      </c>
      <c r="G63" s="17">
        <f>SUM(C63:F63)</f>
        <v/>
      </c>
      <c r="H63" s="18" t="inlineStr">
        <is>
          <t>Good effort, but room for refinement.</t>
        </is>
      </c>
    </row>
    <row r="64" ht="15" customHeight="1">
      <c r="A64" s="8" t="inlineStr">
        <is>
          <t xml:space="preserve">  Group 14   |   Self-Balancing Robot with 2-DOF</t>
        </is>
      </c>
    </row>
    <row r="65" ht="22" customHeight="1">
      <c r="A65" s="82" t="inlineStr">
        <is>
          <t>H093</t>
        </is>
      </c>
      <c r="B65" s="20" t="inlineStr">
        <is>
          <t>Student</t>
        </is>
      </c>
      <c r="C65" s="11" t="n">
        <v>3</v>
      </c>
      <c r="D65" s="11" t="n">
        <v>3</v>
      </c>
      <c r="E65" s="11" t="n">
        <v>4</v>
      </c>
      <c r="F65" s="11" t="n">
        <v>3</v>
      </c>
      <c r="G65" s="12">
        <f>SUM(C65:F65)</f>
        <v/>
      </c>
      <c r="H65" s="21" t="inlineStr">
        <is>
          <t>Good effort, but room for refinement.</t>
        </is>
      </c>
    </row>
    <row r="66" ht="22" customHeight="1">
      <c r="A66" s="92" t="inlineStr">
        <is>
          <t>H095</t>
        </is>
      </c>
      <c r="B66" s="23" t="inlineStr">
        <is>
          <t>Student</t>
        </is>
      </c>
      <c r="C66" s="16" t="n">
        <v>3</v>
      </c>
      <c r="D66" s="16" t="n">
        <v>4</v>
      </c>
      <c r="E66" s="16" t="n">
        <v>4</v>
      </c>
      <c r="F66" s="16" t="n">
        <v>4</v>
      </c>
      <c r="G66" s="17">
        <f>SUM(C66:F66)</f>
        <v/>
      </c>
      <c r="H66" s="24" t="inlineStr">
        <is>
          <t>Good effort, but room for refinement.</t>
        </is>
      </c>
    </row>
    <row r="67" ht="15" customHeight="1">
      <c r="A67" s="8" t="inlineStr">
        <is>
          <t xml:space="preserve">  Group 15   |   Automated EoT (Electric Overhead Travel) Crane</t>
        </is>
      </c>
    </row>
    <row r="68" ht="22" customHeight="1">
      <c r="A68" s="102" t="inlineStr">
        <is>
          <t>H066</t>
        </is>
      </c>
      <c r="B68" s="10" t="inlineStr">
        <is>
          <t>Student</t>
        </is>
      </c>
      <c r="C68" s="11" t="n">
        <v>3</v>
      </c>
      <c r="D68" s="11" t="n">
        <v>4</v>
      </c>
      <c r="E68" s="11" t="n">
        <v>3</v>
      </c>
      <c r="F68" s="11" t="n">
        <v>4</v>
      </c>
      <c r="G68" s="12">
        <f>SUM(C68:F68)</f>
        <v/>
      </c>
      <c r="H68" s="13" t="inlineStr">
        <is>
          <t>Good effort, but room for refinement.</t>
        </is>
      </c>
    </row>
    <row r="69" ht="22" customHeight="1">
      <c r="A69" s="102" t="inlineStr">
        <is>
          <t>H067</t>
        </is>
      </c>
      <c r="B69" s="10" t="inlineStr">
        <is>
          <t>Student</t>
        </is>
      </c>
      <c r="C69" s="11" t="n">
        <v>4</v>
      </c>
      <c r="D69" s="11" t="n">
        <v>3</v>
      </c>
      <c r="E69" s="11" t="n">
        <v>3</v>
      </c>
      <c r="F69" s="11" t="n">
        <v>4</v>
      </c>
      <c r="G69" s="12">
        <f>SUM(C69:F69)</f>
        <v/>
      </c>
      <c r="H69" s="13" t="inlineStr">
        <is>
          <t>Good effort, but room for refinement.</t>
        </is>
      </c>
    </row>
    <row r="70" ht="22" customHeight="1">
      <c r="A70" s="102" t="inlineStr">
        <is>
          <t>H090</t>
        </is>
      </c>
      <c r="B70" s="10" t="inlineStr">
        <is>
          <t>Student</t>
        </is>
      </c>
      <c r="C70" s="11" t="n">
        <v>4</v>
      </c>
      <c r="D70" s="11" t="n">
        <v>3</v>
      </c>
      <c r="E70" s="11" t="n">
        <v>3</v>
      </c>
      <c r="F70" s="11" t="n">
        <v>4</v>
      </c>
      <c r="G70" s="12">
        <f>SUM(C70:F70)</f>
        <v/>
      </c>
      <c r="H70" s="13" t="inlineStr">
        <is>
          <t>Good effort, but room for refinement.</t>
        </is>
      </c>
    </row>
    <row r="71" ht="22" customHeight="1">
      <c r="A71" s="105" t="inlineStr">
        <is>
          <t>H094</t>
        </is>
      </c>
      <c r="B71" s="15" t="inlineStr">
        <is>
          <t>Student</t>
        </is>
      </c>
      <c r="C71" s="16" t="n">
        <v>3</v>
      </c>
      <c r="D71" s="16" t="n">
        <v>4</v>
      </c>
      <c r="E71" s="16" t="n">
        <v>3</v>
      </c>
      <c r="F71" s="16" t="n">
        <v>4</v>
      </c>
      <c r="G71" s="17">
        <f>SUM(C71:F71)</f>
        <v/>
      </c>
      <c r="H71" s="18" t="inlineStr">
        <is>
          <t>Good effort, but room for refinement.</t>
        </is>
      </c>
    </row>
    <row r="72" ht="15" customHeight="1">
      <c r="A72" s="8" t="inlineStr">
        <is>
          <t xml:space="preserve">  Group 16   |   Mathematical Operation of Pick-and-Place Autonomous Rover</t>
        </is>
      </c>
    </row>
    <row r="73" ht="22" customHeight="1">
      <c r="A73" s="82" t="inlineStr">
        <is>
          <t>H034</t>
        </is>
      </c>
      <c r="B73" s="20" t="inlineStr">
        <is>
          <t>Student</t>
        </is>
      </c>
      <c r="C73" s="11" t="n">
        <v>4</v>
      </c>
      <c r="D73" s="11" t="n">
        <v>4</v>
      </c>
      <c r="E73" s="11" t="n">
        <v>4</v>
      </c>
      <c r="F73" s="11" t="n">
        <v>4</v>
      </c>
      <c r="G73" s="12">
        <f>SUM(C73:F73)</f>
        <v/>
      </c>
      <c r="H73" s="21" t="inlineStr">
        <is>
          <t>Excellent work! Clear and well-presented.</t>
        </is>
      </c>
    </row>
    <row r="74" ht="22" customHeight="1">
      <c r="A74" s="82" t="inlineStr">
        <is>
          <t>H041</t>
        </is>
      </c>
      <c r="B74" s="20" t="inlineStr">
        <is>
          <t>Student</t>
        </is>
      </c>
      <c r="C74" s="11" t="n">
        <v>4</v>
      </c>
      <c r="D74" s="11" t="n">
        <v>3</v>
      </c>
      <c r="E74" s="11" t="n">
        <v>3</v>
      </c>
      <c r="F74" s="11" t="n">
        <v>3</v>
      </c>
      <c r="G74" s="12">
        <f>SUM(C74:F74)</f>
        <v/>
      </c>
      <c r="H74" s="21" t="inlineStr">
        <is>
          <t>Good effort, but room for refinement.</t>
        </is>
      </c>
    </row>
    <row r="75" ht="22" customHeight="1">
      <c r="A75" s="92" t="inlineStr">
        <is>
          <t>H056</t>
        </is>
      </c>
      <c r="B75" s="23" t="inlineStr">
        <is>
          <t>Student</t>
        </is>
      </c>
      <c r="C75" s="16" t="n">
        <v>3</v>
      </c>
      <c r="D75" s="16" t="n">
        <v>4</v>
      </c>
      <c r="E75" s="16" t="n">
        <v>4</v>
      </c>
      <c r="F75" s="16" t="n">
        <v>4</v>
      </c>
      <c r="G75" s="17">
        <f>SUM(C75:F75)</f>
        <v/>
      </c>
      <c r="H75" s="24" t="inlineStr">
        <is>
          <t>Good effort, but room for refinement.</t>
        </is>
      </c>
    </row>
    <row r="76" ht="15" customHeight="1">
      <c r="A76" s="8" t="inlineStr">
        <is>
          <t xml:space="preserve">  Group 17   |   Mathematical Modeling of Loading Effects on a Conveyor</t>
        </is>
      </c>
    </row>
    <row r="77" ht="22" customHeight="1">
      <c r="A77" s="102" t="inlineStr">
        <is>
          <t>H074</t>
        </is>
      </c>
      <c r="B77" s="10" t="inlineStr">
        <is>
          <t>Student</t>
        </is>
      </c>
      <c r="C77" s="11" t="n">
        <v>3</v>
      </c>
      <c r="D77" s="11" t="n">
        <v>3</v>
      </c>
      <c r="E77" s="11" t="n">
        <v>4</v>
      </c>
      <c r="F77" s="11" t="n">
        <v>4</v>
      </c>
      <c r="G77" s="12">
        <f>SUM(C77:F77)</f>
        <v/>
      </c>
      <c r="H77" s="13" t="inlineStr">
        <is>
          <t>Good effort, but room for refinement.</t>
        </is>
      </c>
    </row>
    <row r="78" ht="22" customHeight="1">
      <c r="A78" s="105" t="inlineStr">
        <is>
          <t>H075</t>
        </is>
      </c>
      <c r="B78" s="15" t="inlineStr">
        <is>
          <t>Student</t>
        </is>
      </c>
      <c r="C78" s="16" t="n">
        <v>3</v>
      </c>
      <c r="D78" s="16" t="n">
        <v>4</v>
      </c>
      <c r="E78" s="16" t="n">
        <v>4</v>
      </c>
      <c r="F78" s="16" t="n">
        <v>3</v>
      </c>
      <c r="G78" s="17">
        <f>SUM(C78:F78)</f>
        <v/>
      </c>
      <c r="H78" s="18" t="inlineStr">
        <is>
          <t>Good effort, but room for refinement.</t>
        </is>
      </c>
    </row>
    <row r="79" ht="40" customHeight="1">
      <c r="A79" s="25" t="inlineStr">
        <is>
          <t>GRADING SCALE (each criterion, out of 4):   4 = Excellent  |  3 = Good  |  2 = Satisfactory  |  1 = Needs Improvement  |  0 = Not demonstrated
  C1, C2, C3  [GROUP]: enter the SAME mark for all students in the group.     C4  [INDIVIDUAL]: evaluate each student SEPARATELY.</t>
        </is>
      </c>
    </row>
    <row r="80" ht="50" customHeight="1">
      <c r="A80" s="26" t="inlineStr">
        <is>
          <t>CRITERIA DETAIL:   C1 — System Buildability  [GROUP]:  Components, materials, and assembly approach are practically manufacturable with current technology.  |  C2 — Scalability &amp; Real-World Fit  [GROUP]:  Design is scalable and addresses a genuine industrial or commercial engineering problem.  |  C3 — Engineering Accuracy  [GROUP]:  Dimensions, tolerances, forces, and load parameters are physically appropriate.  |  C4 — Individual Technical Q&amp;A  [INDIVIDUAL]:  This student explains manufacturing aspects and key design decisions clearly when probed.</t>
        </is>
      </c>
    </row>
    <row r="81" ht="28" customHeight="1">
      <c r="A81" s="27" t="inlineStr">
        <is>
          <t>Evaluator Signature:   Mr. Kamlesh Panchal</t>
        </is>
      </c>
      <c r="B81" s="111" t="n"/>
      <c r="C81" s="28" t="inlineStr">
        <is>
          <t>Date:   25 / 04 / 2026</t>
        </is>
      </c>
      <c r="D81" s="111" t="n"/>
      <c r="E81" s="28" t="inlineStr">
        <is>
          <t>Coordinated by:   Prof. Sunny Nanade  (Course Instructor, NMIMS)</t>
        </is>
      </c>
      <c r="F81" s="112" t="n"/>
      <c r="G81" s="112" t="n"/>
      <c r="H81" s="111" t="n"/>
    </row>
  </sheetData>
  <mergeCells count="28">
    <mergeCell ref="A67:H67"/>
    <mergeCell ref="A59:H59"/>
    <mergeCell ref="A64:H64"/>
    <mergeCell ref="A1:H1"/>
    <mergeCell ref="E81:H81"/>
    <mergeCell ref="A79:H79"/>
    <mergeCell ref="A6:H6"/>
    <mergeCell ref="A80:H80"/>
    <mergeCell ref="A12:H12"/>
    <mergeCell ref="A3:H3"/>
    <mergeCell ref="A21:H21"/>
    <mergeCell ref="A26:H26"/>
    <mergeCell ref="A55:H55"/>
    <mergeCell ref="A2:H2"/>
    <mergeCell ref="A42:H42"/>
    <mergeCell ref="A76:H76"/>
    <mergeCell ref="A47:H47"/>
    <mergeCell ref="A5:H5"/>
    <mergeCell ref="A8:H8"/>
    <mergeCell ref="A17:H17"/>
    <mergeCell ref="A4:H4"/>
    <mergeCell ref="A81:B81"/>
    <mergeCell ref="A38:H38"/>
    <mergeCell ref="C81:D81"/>
    <mergeCell ref="A72:H72"/>
    <mergeCell ref="A52:H52"/>
    <mergeCell ref="A31:H31"/>
    <mergeCell ref="A34:H34"/>
  </mergeCells>
  <pageMargins left="0.4" right="0.4" top="0.5" bottom="0.5" header="0.3" footer="0.3"/>
  <pageSetup orientation="landscape" paperSize="9" fitToHeight="0" fitToWidth="1"/>
  <headerFooter>
    <oddHeader>&amp;CMini Project Exhibition 2026  |  Mr. Kamlesh Panchal  |  25 April 2026  |  /16 marks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B3F91"/>
    <outlinePr summaryBelow="1" summaryRight="1"/>
    <pageSetUpPr fitToPage="1"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35" customWidth="1" min="8" max="8"/>
  </cols>
  <sheetData>
    <row r="1" ht="20" customHeight="1">
      <c r="A1" s="29" t="inlineStr">
        <is>
          <t>MINI PROJECT EXHIBITION 2026  |  Dynamic System Modeling (702MH0C023)  |  B.Tech Mechatronics Engineering, Semester IV, AY 2025-26  |  NMIMS MPSTME</t>
        </is>
      </c>
    </row>
    <row r="2" ht="30" customHeight="1">
      <c r="A2" s="30" t="inlineStr">
        <is>
          <t>EVALUATOR:   Ms. Hasti Chandarana          ROLE:   Intellectual Property (IP) Expert</t>
        </is>
      </c>
    </row>
    <row r="3" ht="24" customHeight="1">
      <c r="A3" s="31" t="inlineStr">
        <is>
          <t>Session:  MORNING SESSION  |  09:00 AM to 01:00 PM     Date:  25 April 2026 (Saturday)     Venue:  AR/VR Lab, MPSTME, NMIMS</t>
        </is>
      </c>
    </row>
    <row r="4" ht="20" customHeight="1">
      <c r="A4" s="32" t="inlineStr">
        <is>
          <t>ASSESSMENT FOCUS:   Novelty, IP potential, and commercial applicability of the project concept and the mathematical modeling approach.</t>
        </is>
      </c>
    </row>
    <row r="5" ht="18" customHeight="1">
      <c r="A5" s="33" t="inlineStr">
        <is>
          <t>SF-PBL: A novel first-principles derivation may itself constitute an IP element — assess novelty of both the system choice and the mathematical formulation.</t>
        </is>
      </c>
    </row>
    <row r="6" ht="22" customHeight="1">
      <c r="A6" s="34" t="inlineStr">
        <is>
          <t>CRITERIA KEY:   C1: Conceptual Novelty  |  C2: IP Potential  |  C3: Commercial Viability  |  C4: Individual IP Awareness</t>
        </is>
      </c>
    </row>
    <row r="7" ht="34" customHeight="1">
      <c r="A7" s="35" t="inlineStr">
        <is>
          <t>Roll No.</t>
        </is>
      </c>
      <c r="B7" s="35" t="inlineStr">
        <is>
          <t>Student Name</t>
        </is>
      </c>
      <c r="C7" s="35" t="inlineStr">
        <is>
          <t>C1
/4</t>
        </is>
      </c>
      <c r="D7" s="35" t="inlineStr">
        <is>
          <t>C2
/4</t>
        </is>
      </c>
      <c r="E7" s="35" t="inlineStr">
        <is>
          <t>C3
/4</t>
        </is>
      </c>
      <c r="F7" s="35" t="inlineStr">
        <is>
          <t>C4
/4</t>
        </is>
      </c>
      <c r="G7" s="35" t="inlineStr">
        <is>
          <t>Total
/16</t>
        </is>
      </c>
      <c r="H7" s="35" t="inlineStr">
        <is>
          <t>Comments / Feedback</t>
        </is>
      </c>
    </row>
    <row r="8" ht="15" customHeight="1">
      <c r="A8" s="36" t="inlineStr">
        <is>
          <t xml:space="preserve">  Group 1   |   Mathematical Modeling and Dynamic Analysis of a Multi-Terrain Four-Wheeled Robot</t>
        </is>
      </c>
    </row>
    <row r="9" ht="22" customHeight="1">
      <c r="A9" s="102" t="inlineStr">
        <is>
          <t>H079</t>
        </is>
      </c>
      <c r="B9" s="10" t="inlineStr">
        <is>
          <t>Student</t>
        </is>
      </c>
      <c r="C9" s="11" t="n">
        <v>3</v>
      </c>
      <c r="D9" s="11" t="n">
        <v>4</v>
      </c>
      <c r="E9" s="11" t="n">
        <v>3</v>
      </c>
      <c r="F9" s="11" t="n">
        <v>4</v>
      </c>
      <c r="G9" s="12">
        <f>SUM(C9:F9)</f>
        <v/>
      </c>
      <c r="H9" s="13" t="inlineStr">
        <is>
          <t>Good effort, but room for refinement.</t>
        </is>
      </c>
    </row>
    <row r="10" ht="22" customHeight="1">
      <c r="A10" s="102" t="inlineStr">
        <is>
          <t>H082</t>
        </is>
      </c>
      <c r="B10" s="10" t="inlineStr">
        <is>
          <t>Student</t>
        </is>
      </c>
      <c r="C10" s="11" t="n">
        <v>4</v>
      </c>
      <c r="D10" s="11" t="n">
        <v>3</v>
      </c>
      <c r="E10" s="11" t="n">
        <v>4</v>
      </c>
      <c r="F10" s="11" t="n">
        <v>4</v>
      </c>
      <c r="G10" s="12">
        <f>SUM(C10:F10)</f>
        <v/>
      </c>
      <c r="H10" s="13" t="inlineStr">
        <is>
          <t>Good effort, but room for refinement.</t>
        </is>
      </c>
    </row>
    <row r="11" ht="22" customHeight="1">
      <c r="A11" s="105" t="inlineStr">
        <is>
          <t>H084</t>
        </is>
      </c>
      <c r="B11" s="15" t="inlineStr">
        <is>
          <t>Student</t>
        </is>
      </c>
      <c r="C11" s="16" t="n">
        <v>3</v>
      </c>
      <c r="D11" s="16" t="n">
        <v>3</v>
      </c>
      <c r="E11" s="16" t="n">
        <v>4</v>
      </c>
      <c r="F11" s="16" t="n">
        <v>4</v>
      </c>
      <c r="G11" s="17">
        <f>SUM(C11:F11)</f>
        <v/>
      </c>
      <c r="H11" s="18" t="inlineStr">
        <is>
          <t>Good effort, but room for refinement.</t>
        </is>
      </c>
    </row>
    <row r="12" ht="15" customHeight="1">
      <c r="A12" s="36" t="inlineStr">
        <is>
          <t xml:space="preserve">  Group 2   |   Modeling Rocket Landing - Docking</t>
        </is>
      </c>
    </row>
    <row r="13" ht="22" customHeight="1">
      <c r="A13" s="82" t="inlineStr">
        <is>
          <t>H004</t>
        </is>
      </c>
      <c r="B13" s="20" t="inlineStr">
        <is>
          <t>Student</t>
        </is>
      </c>
      <c r="C13" s="11" t="n">
        <v>1</v>
      </c>
      <c r="D13" s="11" t="n">
        <v>1</v>
      </c>
      <c r="E13" s="11" t="n">
        <v>4</v>
      </c>
      <c r="F13" s="11" t="n">
        <v>4</v>
      </c>
      <c r="G13" s="12">
        <f>SUM(C13:F13)</f>
        <v/>
      </c>
      <c r="H13" s="21" t="inlineStr">
        <is>
          <t>Needs significant improvement. Deliverables missing.</t>
        </is>
      </c>
    </row>
    <row r="14" ht="22" customHeight="1">
      <c r="A14" s="82" t="inlineStr">
        <is>
          <t>H005</t>
        </is>
      </c>
      <c r="B14" s="20" t="inlineStr">
        <is>
          <t>Student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2">
        <f>SUM(C14:F14)</f>
        <v/>
      </c>
      <c r="H14" s="21" t="inlineStr">
        <is>
          <t>Absent throughout.</t>
        </is>
      </c>
    </row>
    <row r="15" ht="22" customHeight="1">
      <c r="A15" s="82" t="inlineStr">
        <is>
          <t>H028</t>
        </is>
      </c>
      <c r="B15" s="20" t="inlineStr">
        <is>
          <t>Student</t>
        </is>
      </c>
      <c r="C15" s="11" t="n">
        <v>1</v>
      </c>
      <c r="D15" s="11" t="n">
        <v>1</v>
      </c>
      <c r="E15" s="11" t="n">
        <v>3</v>
      </c>
      <c r="F15" s="11" t="n">
        <v>4</v>
      </c>
      <c r="G15" s="12">
        <f>SUM(C15:F15)</f>
        <v/>
      </c>
      <c r="H15" s="21" t="inlineStr">
        <is>
          <t>Needs significant improvement. Deliverables missing.</t>
        </is>
      </c>
    </row>
    <row r="16" ht="22" customHeight="1">
      <c r="A16" s="92" t="inlineStr">
        <is>
          <t>H031</t>
        </is>
      </c>
      <c r="B16" s="23" t="inlineStr">
        <is>
          <t>Student</t>
        </is>
      </c>
      <c r="C16" s="16" t="n">
        <v>1</v>
      </c>
      <c r="D16" s="16" t="n">
        <v>1</v>
      </c>
      <c r="E16" s="16" t="n">
        <v>3</v>
      </c>
      <c r="F16" s="16" t="n">
        <v>3</v>
      </c>
      <c r="G16" s="17">
        <f>SUM(C16:F16)</f>
        <v/>
      </c>
      <c r="H16" s="24" t="inlineStr">
        <is>
          <t>Needs significant improvement. Deliverables missing.</t>
        </is>
      </c>
    </row>
    <row r="17" ht="15" customHeight="1">
      <c r="A17" s="36" t="inlineStr">
        <is>
          <t xml:space="preserve">  Group 3   |   Dynamic Modeling and Stability Analysis of 2-DOF Leg Mechanism for Quadruped Robot</t>
        </is>
      </c>
    </row>
    <row r="18" ht="22" customHeight="1">
      <c r="A18" s="102" t="inlineStr">
        <is>
          <t>H009</t>
        </is>
      </c>
      <c r="B18" s="10" t="inlineStr">
        <is>
          <t>Student</t>
        </is>
      </c>
      <c r="C18" s="11" t="n">
        <v>4</v>
      </c>
      <c r="D18" s="11" t="n">
        <v>3</v>
      </c>
      <c r="E18" s="11" t="n">
        <v>3</v>
      </c>
      <c r="F18" s="11" t="n">
        <v>3</v>
      </c>
      <c r="G18" s="12">
        <f>SUM(C18:F18)</f>
        <v/>
      </c>
      <c r="H18" s="13" t="inlineStr">
        <is>
          <t>Good effort, but room for refinement.</t>
        </is>
      </c>
    </row>
    <row r="19" ht="22" customHeight="1">
      <c r="A19" s="102" t="inlineStr">
        <is>
          <t>H012</t>
        </is>
      </c>
      <c r="B19" s="10" t="inlineStr">
        <is>
          <t>Student</t>
        </is>
      </c>
      <c r="C19" s="11" t="n">
        <v>3</v>
      </c>
      <c r="D19" s="11" t="n">
        <v>3</v>
      </c>
      <c r="E19" s="11" t="n">
        <v>4</v>
      </c>
      <c r="F19" s="11" t="n">
        <v>4</v>
      </c>
      <c r="G19" s="12">
        <f>SUM(C19:F19)</f>
        <v/>
      </c>
      <c r="H19" s="13" t="inlineStr">
        <is>
          <t>Good effort, but room for refinement.</t>
        </is>
      </c>
    </row>
    <row r="20" ht="22" customHeight="1">
      <c r="A20" s="105" t="inlineStr">
        <is>
          <t>H033</t>
        </is>
      </c>
      <c r="B20" s="15" t="inlineStr">
        <is>
          <t>Student</t>
        </is>
      </c>
      <c r="C20" s="16" t="n">
        <v>3</v>
      </c>
      <c r="D20" s="16" t="n">
        <v>3</v>
      </c>
      <c r="E20" s="16" t="n">
        <v>4</v>
      </c>
      <c r="F20" s="16" t="n">
        <v>4</v>
      </c>
      <c r="G20" s="17">
        <f>SUM(C20:F20)</f>
        <v/>
      </c>
      <c r="H20" s="18" t="inlineStr">
        <is>
          <t>Good effort, but room for refinement.</t>
        </is>
      </c>
    </row>
    <row r="21" ht="15" customHeight="1">
      <c r="A21" s="36" t="inlineStr">
        <is>
          <t xml:space="preserve">  Group 4   |   Critical Skid Velocity Mathematical Modeling</t>
        </is>
      </c>
    </row>
    <row r="22" ht="22" customHeight="1">
      <c r="A22" s="82" t="inlineStr">
        <is>
          <t>H014</t>
        </is>
      </c>
      <c r="B22" s="20" t="inlineStr">
        <is>
          <t>Student</t>
        </is>
      </c>
      <c r="C22" s="11" t="n">
        <v>1</v>
      </c>
      <c r="D22" s="11" t="n">
        <v>1</v>
      </c>
      <c r="E22" s="11" t="n">
        <v>3</v>
      </c>
      <c r="F22" s="11" t="n">
        <v>3</v>
      </c>
      <c r="G22" s="12">
        <f>SUM(C22:F22)</f>
        <v/>
      </c>
      <c r="H22" s="21" t="inlineStr">
        <is>
          <t>Missing key simulation/validation components.</t>
        </is>
      </c>
    </row>
    <row r="23" ht="22" customHeight="1">
      <c r="A23" s="82" t="inlineStr">
        <is>
          <t>H015</t>
        </is>
      </c>
      <c r="B23" s="20" t="inlineStr">
        <is>
          <t>Student</t>
        </is>
      </c>
      <c r="C23" s="11" t="n">
        <v>1</v>
      </c>
      <c r="D23" s="11" t="n">
        <v>1</v>
      </c>
      <c r="E23" s="11" t="n">
        <v>4</v>
      </c>
      <c r="F23" s="11" t="n">
        <v>4</v>
      </c>
      <c r="G23" s="12">
        <f>SUM(C23:F23)</f>
        <v/>
      </c>
      <c r="H23" s="21" t="inlineStr">
        <is>
          <t>Missing key simulation/validation components.</t>
        </is>
      </c>
    </row>
    <row r="24" ht="22" customHeight="1">
      <c r="A24" s="82" t="inlineStr">
        <is>
          <t>H016</t>
        </is>
      </c>
      <c r="B24" s="20" t="inlineStr">
        <is>
          <t>Student</t>
        </is>
      </c>
      <c r="C24" s="11" t="n">
        <v>1</v>
      </c>
      <c r="D24" s="11" t="n">
        <v>1</v>
      </c>
      <c r="E24" s="11" t="n">
        <v>3</v>
      </c>
      <c r="F24" s="11" t="n">
        <v>4</v>
      </c>
      <c r="G24" s="12">
        <f>SUM(C24:F24)</f>
        <v/>
      </c>
      <c r="H24" s="21" t="inlineStr">
        <is>
          <t>Missing key simulation/validation components.</t>
        </is>
      </c>
    </row>
    <row r="25" ht="22" customHeight="1">
      <c r="A25" s="92" t="inlineStr">
        <is>
          <t>H025</t>
        </is>
      </c>
      <c r="B25" s="23" t="inlineStr">
        <is>
          <t>Student</t>
        </is>
      </c>
      <c r="C25" s="16" t="n">
        <v>1</v>
      </c>
      <c r="D25" s="16" t="n">
        <v>1</v>
      </c>
      <c r="E25" s="16" t="n">
        <v>4</v>
      </c>
      <c r="F25" s="16" t="n">
        <v>4</v>
      </c>
      <c r="G25" s="17">
        <f>SUM(C25:F25)</f>
        <v/>
      </c>
      <c r="H25" s="24" t="inlineStr">
        <is>
          <t>Missing key simulation/validation components.</t>
        </is>
      </c>
    </row>
    <row r="26" ht="15" customHeight="1">
      <c r="A26" s="36" t="inlineStr">
        <is>
          <t xml:space="preserve">  Group 5   |   Humanoid Robot - Dynamic Modeling</t>
        </is>
      </c>
    </row>
    <row r="27" ht="22" customHeight="1">
      <c r="A27" s="102" t="inlineStr">
        <is>
          <t>H003</t>
        </is>
      </c>
      <c r="B27" s="10" t="inlineStr">
        <is>
          <t>Student</t>
        </is>
      </c>
      <c r="C27" s="11" t="n">
        <v>3</v>
      </c>
      <c r="D27" s="11" t="n">
        <v>4</v>
      </c>
      <c r="E27" s="11" t="n">
        <v>3</v>
      </c>
      <c r="F27" s="11" t="n">
        <v>3</v>
      </c>
      <c r="G27" s="12">
        <f>SUM(C27:F27)</f>
        <v/>
      </c>
      <c r="H27" s="13" t="inlineStr">
        <is>
          <t>Good effort, but room for refinement.</t>
        </is>
      </c>
    </row>
    <row r="28" ht="22" customHeight="1">
      <c r="A28" s="102" t="inlineStr">
        <is>
          <t>H006</t>
        </is>
      </c>
      <c r="B28" s="10" t="inlineStr">
        <is>
          <t>Student</t>
        </is>
      </c>
      <c r="C28" s="11" t="n">
        <v>3</v>
      </c>
      <c r="D28" s="11" t="n">
        <v>4</v>
      </c>
      <c r="E28" s="11" t="n">
        <v>3</v>
      </c>
      <c r="F28" s="11" t="n">
        <v>4</v>
      </c>
      <c r="G28" s="12">
        <f>SUM(C28:F28)</f>
        <v/>
      </c>
      <c r="H28" s="13" t="inlineStr">
        <is>
          <t>Good effort, but room for refinement.</t>
        </is>
      </c>
    </row>
    <row r="29" ht="22" customHeight="1">
      <c r="A29" s="102" t="inlineStr">
        <is>
          <t>H024</t>
        </is>
      </c>
      <c r="B29" s="10" t="inlineStr">
        <is>
          <t>Student</t>
        </is>
      </c>
      <c r="C29" s="11" t="n">
        <v>4</v>
      </c>
      <c r="D29" s="11" t="n">
        <v>4</v>
      </c>
      <c r="E29" s="11" t="n">
        <v>3</v>
      </c>
      <c r="F29" s="11" t="n">
        <v>4</v>
      </c>
      <c r="G29" s="12">
        <f>SUM(C29:F29)</f>
        <v/>
      </c>
      <c r="H29" s="13" t="inlineStr">
        <is>
          <t>Good effort, but room for refinement.</t>
        </is>
      </c>
    </row>
    <row r="30" ht="22" customHeight="1">
      <c r="A30" s="105" t="inlineStr">
        <is>
          <t>H029</t>
        </is>
      </c>
      <c r="B30" s="15" t="inlineStr">
        <is>
          <t>Student</t>
        </is>
      </c>
      <c r="C30" s="16" t="n">
        <v>3</v>
      </c>
      <c r="D30" s="16" t="n">
        <v>3</v>
      </c>
      <c r="E30" s="16" t="n">
        <v>3</v>
      </c>
      <c r="F30" s="16" t="n">
        <v>4</v>
      </c>
      <c r="G30" s="17">
        <f>SUM(C30:F30)</f>
        <v/>
      </c>
      <c r="H30" s="18" t="inlineStr">
        <is>
          <t>Good effort, but room for refinement.</t>
        </is>
      </c>
    </row>
    <row r="31" ht="15" customHeight="1">
      <c r="A31" s="36" t="inlineStr">
        <is>
          <t xml:space="preserve">  Group 6   |   Dynamic Modeling of Hydrogen Fuel Cell-Battery Hybrid Powertrain for Electric UAV</t>
        </is>
      </c>
    </row>
    <row r="32" ht="22" customHeight="1">
      <c r="A32" s="82" t="inlineStr">
        <is>
          <t>H001</t>
        </is>
      </c>
      <c r="B32" s="20" t="inlineStr">
        <is>
          <t>Student</t>
        </is>
      </c>
      <c r="C32" s="11" t="n">
        <v>1</v>
      </c>
      <c r="D32" s="11" t="n">
        <v>1</v>
      </c>
      <c r="E32" s="11" t="n">
        <v>4</v>
      </c>
      <c r="F32" s="11" t="n">
        <v>4</v>
      </c>
      <c r="G32" s="12">
        <f>SUM(C32:F32)</f>
        <v/>
      </c>
      <c r="H32" s="21" t="inlineStr">
        <is>
          <t>Missing key simulation/validation components.</t>
        </is>
      </c>
    </row>
    <row r="33" ht="22" customHeight="1">
      <c r="A33" s="92" t="inlineStr">
        <is>
          <t>H002</t>
        </is>
      </c>
      <c r="B33" s="23" t="inlineStr">
        <is>
          <t>Student</t>
        </is>
      </c>
      <c r="C33" s="16" t="n">
        <v>1</v>
      </c>
      <c r="D33" s="16" t="n">
        <v>1</v>
      </c>
      <c r="E33" s="16" t="n">
        <v>3</v>
      </c>
      <c r="F33" s="16" t="n">
        <v>3</v>
      </c>
      <c r="G33" s="17">
        <f>SUM(C33:F33)</f>
        <v/>
      </c>
      <c r="H33" s="24" t="inlineStr">
        <is>
          <t>Missing key simulation/validation components.</t>
        </is>
      </c>
    </row>
    <row r="34" ht="15" customHeight="1">
      <c r="A34" s="36" t="inlineStr">
        <is>
          <t xml:space="preserve">  Group 7   |   Hexapod Robot - Mathematical Modeling</t>
        </is>
      </c>
    </row>
    <row r="35" ht="22" customHeight="1">
      <c r="A35" s="102" t="inlineStr">
        <is>
          <t>H021</t>
        </is>
      </c>
      <c r="B35" s="10" t="inlineStr">
        <is>
          <t>Student</t>
        </is>
      </c>
      <c r="C35" s="11" t="n">
        <v>1</v>
      </c>
      <c r="D35" s="11" t="n">
        <v>1</v>
      </c>
      <c r="E35" s="11" t="n">
        <v>4</v>
      </c>
      <c r="F35" s="11" t="n">
        <v>4</v>
      </c>
      <c r="G35" s="12">
        <f>SUM(C35:F35)</f>
        <v/>
      </c>
      <c r="H35" s="13" t="inlineStr">
        <is>
          <t>Needs significant improvement. Deliverables missing.</t>
        </is>
      </c>
    </row>
    <row r="36" ht="22" customHeight="1">
      <c r="A36" s="102" t="inlineStr">
        <is>
          <t>H022</t>
        </is>
      </c>
      <c r="B36" s="10" t="inlineStr">
        <is>
          <t>Student</t>
        </is>
      </c>
      <c r="C36" s="11" t="n">
        <v>1</v>
      </c>
      <c r="D36" s="11" t="n">
        <v>1</v>
      </c>
      <c r="E36" s="11" t="n">
        <v>4</v>
      </c>
      <c r="F36" s="11" t="n">
        <v>3</v>
      </c>
      <c r="G36" s="12">
        <f>SUM(C36:F36)</f>
        <v/>
      </c>
      <c r="H36" s="13" t="inlineStr">
        <is>
          <t>Needs significant improvement. Deliverables missing.</t>
        </is>
      </c>
    </row>
    <row r="37" ht="22" customHeight="1">
      <c r="A37" s="105" t="inlineStr">
        <is>
          <t>H023</t>
        </is>
      </c>
      <c r="B37" s="15" t="inlineStr">
        <is>
          <t>Student</t>
        </is>
      </c>
      <c r="C37" s="16" t="n">
        <v>1</v>
      </c>
      <c r="D37" s="16" t="n">
        <v>1</v>
      </c>
      <c r="E37" s="16" t="n">
        <v>3</v>
      </c>
      <c r="F37" s="16" t="n">
        <v>4</v>
      </c>
      <c r="G37" s="17">
        <f>SUM(C37:F37)</f>
        <v/>
      </c>
      <c r="H37" s="18" t="inlineStr">
        <is>
          <t>Needs significant improvement. Deliverables missing.</t>
        </is>
      </c>
    </row>
    <row r="38" ht="15" customHeight="1">
      <c r="A38" s="36" t="inlineStr">
        <is>
          <t xml:space="preserve">  Group 8   |   Mathematical Modeling and Dynamics of Ball Balancing Robot using 6-DOF Stewart Mechanism</t>
        </is>
      </c>
    </row>
    <row r="39" ht="22" customHeight="1">
      <c r="A39" s="82" t="inlineStr">
        <is>
          <t>H059</t>
        </is>
      </c>
      <c r="B39" s="20" t="inlineStr">
        <is>
          <t>Student</t>
        </is>
      </c>
      <c r="C39" s="11" t="n">
        <v>4</v>
      </c>
      <c r="D39" s="11" t="n">
        <v>3</v>
      </c>
      <c r="E39" s="11" t="n">
        <v>3</v>
      </c>
      <c r="F39" s="11" t="n">
        <v>3</v>
      </c>
      <c r="G39" s="12">
        <f>SUM(C39:F39)</f>
        <v/>
      </c>
      <c r="H39" s="21" t="inlineStr">
        <is>
          <t>Good effort, but room for refinement.</t>
        </is>
      </c>
    </row>
    <row r="40" ht="22" customHeight="1">
      <c r="A40" s="82" t="inlineStr">
        <is>
          <t>H060</t>
        </is>
      </c>
      <c r="B40" s="20" t="inlineStr">
        <is>
          <t>Student</t>
        </is>
      </c>
      <c r="C40" s="11" t="n">
        <v>4</v>
      </c>
      <c r="D40" s="11" t="n">
        <v>3</v>
      </c>
      <c r="E40" s="11" t="n">
        <v>4</v>
      </c>
      <c r="F40" s="11" t="n">
        <v>4</v>
      </c>
      <c r="G40" s="12">
        <f>SUM(C40:F40)</f>
        <v/>
      </c>
      <c r="H40" s="21" t="inlineStr">
        <is>
          <t>Good effort, but room for refinement.</t>
        </is>
      </c>
    </row>
    <row r="41" ht="22" customHeight="1">
      <c r="A41" s="92" t="inlineStr">
        <is>
          <t>H062</t>
        </is>
      </c>
      <c r="B41" s="23" t="inlineStr">
        <is>
          <t>Student</t>
        </is>
      </c>
      <c r="C41" s="16" t="n">
        <v>4</v>
      </c>
      <c r="D41" s="16" t="n">
        <v>4</v>
      </c>
      <c r="E41" s="16" t="n">
        <v>4</v>
      </c>
      <c r="F41" s="16" t="n">
        <v>4</v>
      </c>
      <c r="G41" s="17">
        <f>SUM(C41:F41)</f>
        <v/>
      </c>
      <c r="H41" s="24" t="inlineStr">
        <is>
          <t>Excellent work! Clear and well-presented.</t>
        </is>
      </c>
    </row>
    <row r="42" ht="15" customHeight="1">
      <c r="A42" s="36" t="inlineStr">
        <is>
          <t xml:space="preserve">  Group 9   |   Dynamic Modelling of Sensor-Integrated Remotely Operated Underwater Vehicle (ROV)</t>
        </is>
      </c>
    </row>
    <row r="43" ht="22" customHeight="1">
      <c r="A43" s="102" t="inlineStr">
        <is>
          <t>H035</t>
        </is>
      </c>
      <c r="B43" s="10" t="inlineStr">
        <is>
          <t>Student</t>
        </is>
      </c>
      <c r="C43" s="11" t="n">
        <v>3</v>
      </c>
      <c r="D43" s="11" t="n">
        <v>3</v>
      </c>
      <c r="E43" s="11" t="n">
        <v>4</v>
      </c>
      <c r="F43" s="11" t="n">
        <v>4</v>
      </c>
      <c r="G43" s="12">
        <f>SUM(C43:F43)</f>
        <v/>
      </c>
      <c r="H43" s="13" t="inlineStr">
        <is>
          <t>Good effort, but room for refinement.</t>
        </is>
      </c>
    </row>
    <row r="44" ht="22" customHeight="1">
      <c r="A44" s="102" t="inlineStr">
        <is>
          <t>H040</t>
        </is>
      </c>
      <c r="B44" s="10" t="inlineStr">
        <is>
          <t>Student</t>
        </is>
      </c>
      <c r="C44" s="11" t="n">
        <v>4</v>
      </c>
      <c r="D44" s="11" t="n">
        <v>4</v>
      </c>
      <c r="E44" s="11" t="n">
        <v>4</v>
      </c>
      <c r="F44" s="11" t="n">
        <v>4</v>
      </c>
      <c r="G44" s="12">
        <f>SUM(C44:F44)</f>
        <v/>
      </c>
      <c r="H44" s="13" t="inlineStr">
        <is>
          <t>Excellent work! Clear and well-presented.</t>
        </is>
      </c>
    </row>
    <row r="45" ht="22" customHeight="1">
      <c r="A45" s="102" t="inlineStr">
        <is>
          <t>H046</t>
        </is>
      </c>
      <c r="B45" s="10" t="inlineStr">
        <is>
          <t>Student</t>
        </is>
      </c>
      <c r="C45" s="11" t="n">
        <v>3</v>
      </c>
      <c r="D45" s="11" t="n">
        <v>4</v>
      </c>
      <c r="E45" s="11" t="n">
        <v>4</v>
      </c>
      <c r="F45" s="11" t="n">
        <v>3</v>
      </c>
      <c r="G45" s="12">
        <f>SUM(C45:F45)</f>
        <v/>
      </c>
      <c r="H45" s="13" t="inlineStr">
        <is>
          <t>Good effort, but room for refinement.</t>
        </is>
      </c>
    </row>
    <row r="46" ht="22" customHeight="1">
      <c r="A46" s="105" t="inlineStr">
        <is>
          <t>H047</t>
        </is>
      </c>
      <c r="B46" s="15" t="inlineStr">
        <is>
          <t>Student</t>
        </is>
      </c>
      <c r="C46" s="16" t="n">
        <v>4</v>
      </c>
      <c r="D46" s="16" t="n">
        <v>3</v>
      </c>
      <c r="E46" s="16" t="n">
        <v>3</v>
      </c>
      <c r="F46" s="16" t="n">
        <v>4</v>
      </c>
      <c r="G46" s="17">
        <f>SUM(C46:F46)</f>
        <v/>
      </c>
      <c r="H46" s="18" t="inlineStr">
        <is>
          <t>Good effort, but room for refinement.</t>
        </is>
      </c>
    </row>
    <row r="47" ht="15" customHeight="1">
      <c r="A47" s="36" t="inlineStr">
        <is>
          <t xml:space="preserve">  Group 10   |   Mathematical Modeling of Motors</t>
        </is>
      </c>
    </row>
    <row r="48" ht="22" customHeight="1">
      <c r="A48" s="82" t="inlineStr">
        <is>
          <t>H036</t>
        </is>
      </c>
      <c r="B48" s="20" t="inlineStr">
        <is>
          <t>Student</t>
        </is>
      </c>
      <c r="C48" s="11" t="n">
        <v>3</v>
      </c>
      <c r="D48" s="11" t="n">
        <v>3</v>
      </c>
      <c r="E48" s="11" t="n">
        <v>4</v>
      </c>
      <c r="F48" s="11" t="n">
        <v>4</v>
      </c>
      <c r="G48" s="12">
        <f>SUM(C48:F48)</f>
        <v/>
      </c>
      <c r="H48" s="21" t="inlineStr">
        <is>
          <t>Good effort, but room for refinement.</t>
        </is>
      </c>
    </row>
    <row r="49" ht="22" customHeight="1">
      <c r="A49" s="82" t="inlineStr">
        <is>
          <t>H050</t>
        </is>
      </c>
      <c r="B49" s="20" t="inlineStr">
        <is>
          <t>Student</t>
        </is>
      </c>
      <c r="C49" s="11" t="n">
        <v>3</v>
      </c>
      <c r="D49" s="11" t="n">
        <v>3</v>
      </c>
      <c r="E49" s="11" t="n">
        <v>3</v>
      </c>
      <c r="F49" s="11" t="n">
        <v>4</v>
      </c>
      <c r="G49" s="12">
        <f>SUM(C49:F49)</f>
        <v/>
      </c>
      <c r="H49" s="21" t="inlineStr">
        <is>
          <t>Good effort, but room for refinement.</t>
        </is>
      </c>
    </row>
    <row r="50" ht="22" customHeight="1">
      <c r="A50" s="82" t="inlineStr">
        <is>
          <t>H051</t>
        </is>
      </c>
      <c r="B50" s="20" t="inlineStr">
        <is>
          <t>Student</t>
        </is>
      </c>
      <c r="C50" s="11" t="n">
        <v>4</v>
      </c>
      <c r="D50" s="11" t="n">
        <v>4</v>
      </c>
      <c r="E50" s="11" t="n">
        <v>4</v>
      </c>
      <c r="F50" s="11" t="n">
        <v>4</v>
      </c>
      <c r="G50" s="12">
        <f>SUM(C50:F50)</f>
        <v/>
      </c>
      <c r="H50" s="21" t="inlineStr">
        <is>
          <t>Excellent work! Clear and well-presented.</t>
        </is>
      </c>
    </row>
    <row r="51" ht="22" customHeight="1">
      <c r="A51" s="92" t="inlineStr">
        <is>
          <t>H052</t>
        </is>
      </c>
      <c r="B51" s="23" t="inlineStr">
        <is>
          <t>Student</t>
        </is>
      </c>
      <c r="C51" s="16" t="n">
        <v>3</v>
      </c>
      <c r="D51" s="16" t="n">
        <v>4</v>
      </c>
      <c r="E51" s="16" t="n">
        <v>3</v>
      </c>
      <c r="F51" s="16" t="n">
        <v>4</v>
      </c>
      <c r="G51" s="17">
        <f>SUM(C51:F51)</f>
        <v/>
      </c>
      <c r="H51" s="24" t="inlineStr">
        <is>
          <t>Good effort, but room for refinement.</t>
        </is>
      </c>
    </row>
    <row r="52" ht="15" customHeight="1">
      <c r="A52" s="36" t="inlineStr">
        <is>
          <t xml:space="preserve">  Group 11   |   Digital Twin (DT) of Motors</t>
        </is>
      </c>
    </row>
    <row r="53" ht="22" customHeight="1">
      <c r="A53" s="102" t="inlineStr">
        <is>
          <t>H020</t>
        </is>
      </c>
      <c r="B53" s="10" t="inlineStr">
        <is>
          <t>Student</t>
        </is>
      </c>
      <c r="C53" s="11" t="n">
        <v>4</v>
      </c>
      <c r="D53" s="11" t="n">
        <v>3</v>
      </c>
      <c r="E53" s="11" t="n">
        <v>4</v>
      </c>
      <c r="F53" s="11" t="n">
        <v>4</v>
      </c>
      <c r="G53" s="12">
        <f>SUM(C53:F53)</f>
        <v/>
      </c>
      <c r="H53" s="13" t="inlineStr">
        <is>
          <t>Good effort, but room for refinement.</t>
        </is>
      </c>
    </row>
    <row r="54" ht="22" customHeight="1">
      <c r="A54" s="105" t="inlineStr">
        <is>
          <t>H096</t>
        </is>
      </c>
      <c r="B54" s="15" t="inlineStr">
        <is>
          <t>Student</t>
        </is>
      </c>
      <c r="C54" s="16" t="n">
        <v>4</v>
      </c>
      <c r="D54" s="16" t="n">
        <v>3</v>
      </c>
      <c r="E54" s="16" t="n">
        <v>3</v>
      </c>
      <c r="F54" s="16" t="n">
        <v>3</v>
      </c>
      <c r="G54" s="17">
        <f>SUM(C54:F54)</f>
        <v/>
      </c>
      <c r="H54" s="18" t="inlineStr">
        <is>
          <t>Good effort, but room for refinement.</t>
        </is>
      </c>
    </row>
    <row r="55" ht="15" customHeight="1">
      <c r="A55" s="36" t="inlineStr">
        <is>
          <t xml:space="preserve">  Group 12   |   Mathematical Modeling for Robotic Gripper Mechanism</t>
        </is>
      </c>
    </row>
    <row r="56" ht="22" customHeight="1">
      <c r="A56" s="82" t="inlineStr">
        <is>
          <t>H076</t>
        </is>
      </c>
      <c r="B56" s="20" t="inlineStr">
        <is>
          <t>Student</t>
        </is>
      </c>
      <c r="C56" s="11" t="n">
        <v>1</v>
      </c>
      <c r="D56" s="11" t="n">
        <v>1</v>
      </c>
      <c r="E56" s="11" t="n">
        <v>3</v>
      </c>
      <c r="F56" s="11" t="n">
        <v>4</v>
      </c>
      <c r="G56" s="12">
        <f>SUM(C56:F56)</f>
        <v/>
      </c>
      <c r="H56" s="21" t="inlineStr">
        <is>
          <t>Missing key simulation/validation components.</t>
        </is>
      </c>
    </row>
    <row r="57" ht="22" customHeight="1">
      <c r="A57" s="82" t="inlineStr">
        <is>
          <t>H078</t>
        </is>
      </c>
      <c r="B57" s="20" t="inlineStr">
        <is>
          <t>Student</t>
        </is>
      </c>
      <c r="C57" s="11" t="n">
        <v>1</v>
      </c>
      <c r="D57" s="11" t="n">
        <v>1</v>
      </c>
      <c r="E57" s="11" t="n">
        <v>3</v>
      </c>
      <c r="F57" s="11" t="n">
        <v>4</v>
      </c>
      <c r="G57" s="12">
        <f>SUM(C57:F57)</f>
        <v/>
      </c>
      <c r="H57" s="21" t="inlineStr">
        <is>
          <t>Missing key simulation/validation components.</t>
        </is>
      </c>
    </row>
    <row r="58" ht="22" customHeight="1">
      <c r="A58" s="92" t="inlineStr">
        <is>
          <t>H088</t>
        </is>
      </c>
      <c r="B58" s="23" t="inlineStr">
        <is>
          <t>Student</t>
        </is>
      </c>
      <c r="C58" s="16" t="n">
        <v>1</v>
      </c>
      <c r="D58" s="16" t="n">
        <v>1</v>
      </c>
      <c r="E58" s="16" t="n">
        <v>3</v>
      </c>
      <c r="F58" s="16" t="n">
        <v>3</v>
      </c>
      <c r="G58" s="17">
        <f>SUM(C58:F58)</f>
        <v/>
      </c>
      <c r="H58" s="24" t="inlineStr">
        <is>
          <t>Missing key simulation/validation components.</t>
        </is>
      </c>
    </row>
    <row r="59" ht="15" customHeight="1">
      <c r="A59" s="36" t="inlineStr">
        <is>
          <t xml:space="preserve">  Group 13   |   Modeling Energy Loss in a Shock Absorber</t>
        </is>
      </c>
    </row>
    <row r="60" ht="22" customHeight="1">
      <c r="A60" s="102" t="inlineStr">
        <is>
          <t>H068</t>
        </is>
      </c>
      <c r="B60" s="10" t="inlineStr">
        <is>
          <t>Student</t>
        </is>
      </c>
      <c r="C60" s="11" t="n">
        <v>4</v>
      </c>
      <c r="D60" s="11" t="n">
        <v>3</v>
      </c>
      <c r="E60" s="11" t="n">
        <v>4</v>
      </c>
      <c r="F60" s="11" t="n">
        <v>4</v>
      </c>
      <c r="G60" s="12">
        <f>SUM(C60:F60)</f>
        <v/>
      </c>
      <c r="H60" s="13" t="inlineStr">
        <is>
          <t>Good effort, but room for refinement.</t>
        </is>
      </c>
    </row>
    <row r="61" ht="22" customHeight="1">
      <c r="A61" s="102" t="inlineStr">
        <is>
          <t>H071</t>
        </is>
      </c>
      <c r="B61" s="10" t="inlineStr">
        <is>
          <t>Student</t>
        </is>
      </c>
      <c r="C61" s="11" t="n">
        <v>4</v>
      </c>
      <c r="D61" s="11" t="n">
        <v>4</v>
      </c>
      <c r="E61" s="11" t="n">
        <v>3</v>
      </c>
      <c r="F61" s="11" t="n">
        <v>4</v>
      </c>
      <c r="G61" s="12">
        <f>SUM(C61:F61)</f>
        <v/>
      </c>
      <c r="H61" s="13" t="inlineStr">
        <is>
          <t>Good effort, but room for refinement.</t>
        </is>
      </c>
    </row>
    <row r="62" ht="22" customHeight="1">
      <c r="A62" s="102" t="inlineStr">
        <is>
          <t>H086</t>
        </is>
      </c>
      <c r="B62" s="10" t="inlineStr">
        <is>
          <t>Student</t>
        </is>
      </c>
      <c r="C62" s="11" t="n">
        <v>4</v>
      </c>
      <c r="D62" s="11" t="n">
        <v>4</v>
      </c>
      <c r="E62" s="11" t="n">
        <v>3</v>
      </c>
      <c r="F62" s="11" t="n">
        <v>4</v>
      </c>
      <c r="G62" s="12">
        <f>SUM(C62:F62)</f>
        <v/>
      </c>
      <c r="H62" s="13" t="inlineStr">
        <is>
          <t>Good effort, but room for refinement.</t>
        </is>
      </c>
    </row>
    <row r="63" ht="22" customHeight="1">
      <c r="A63" s="105" t="inlineStr">
        <is>
          <t>H097</t>
        </is>
      </c>
      <c r="B63" s="15" t="inlineStr">
        <is>
          <t>Student</t>
        </is>
      </c>
      <c r="C63" s="16" t="n">
        <v>4</v>
      </c>
      <c r="D63" s="16" t="n">
        <v>3</v>
      </c>
      <c r="E63" s="16" t="n">
        <v>4</v>
      </c>
      <c r="F63" s="16" t="n">
        <v>3</v>
      </c>
      <c r="G63" s="17">
        <f>SUM(C63:F63)</f>
        <v/>
      </c>
      <c r="H63" s="18" t="inlineStr">
        <is>
          <t>Good effort, but room for refinement.</t>
        </is>
      </c>
    </row>
    <row r="64" ht="15" customHeight="1">
      <c r="A64" s="36" t="inlineStr">
        <is>
          <t xml:space="preserve">  Group 14   |   Self-Balancing Robot with 2-DOF</t>
        </is>
      </c>
    </row>
    <row r="65" ht="22" customHeight="1">
      <c r="A65" s="82" t="inlineStr">
        <is>
          <t>H093</t>
        </is>
      </c>
      <c r="B65" s="20" t="inlineStr">
        <is>
          <t>Student</t>
        </is>
      </c>
      <c r="C65" s="11" t="n">
        <v>4</v>
      </c>
      <c r="D65" s="11" t="n">
        <v>4</v>
      </c>
      <c r="E65" s="11" t="n">
        <v>4</v>
      </c>
      <c r="F65" s="11" t="n">
        <v>4</v>
      </c>
      <c r="G65" s="12">
        <f>SUM(C65:F65)</f>
        <v/>
      </c>
      <c r="H65" s="21" t="inlineStr">
        <is>
          <t>Excellent work! Clear and well-presented.</t>
        </is>
      </c>
    </row>
    <row r="66" ht="22" customHeight="1">
      <c r="A66" s="92" t="inlineStr">
        <is>
          <t>H095</t>
        </is>
      </c>
      <c r="B66" s="23" t="inlineStr">
        <is>
          <t>Student</t>
        </is>
      </c>
      <c r="C66" s="16" t="n">
        <v>3</v>
      </c>
      <c r="D66" s="16" t="n">
        <v>3</v>
      </c>
      <c r="E66" s="16" t="n">
        <v>3</v>
      </c>
      <c r="F66" s="16" t="n">
        <v>4</v>
      </c>
      <c r="G66" s="17">
        <f>SUM(C66:F66)</f>
        <v/>
      </c>
      <c r="H66" s="24" t="inlineStr">
        <is>
          <t>Good effort, but room for refinement.</t>
        </is>
      </c>
    </row>
    <row r="67" ht="15" customHeight="1">
      <c r="A67" s="36" t="inlineStr">
        <is>
          <t xml:space="preserve">  Group 15   |   Automated EoT (Electric Overhead Travel) Crane</t>
        </is>
      </c>
    </row>
    <row r="68" ht="22" customHeight="1">
      <c r="A68" s="102" t="inlineStr">
        <is>
          <t>H066</t>
        </is>
      </c>
      <c r="B68" s="10" t="inlineStr">
        <is>
          <t>Student</t>
        </is>
      </c>
      <c r="C68" s="11" t="n">
        <v>3</v>
      </c>
      <c r="D68" s="11" t="n">
        <v>3</v>
      </c>
      <c r="E68" s="11" t="n">
        <v>4</v>
      </c>
      <c r="F68" s="11" t="n">
        <v>3</v>
      </c>
      <c r="G68" s="12">
        <f>SUM(C68:F68)</f>
        <v/>
      </c>
      <c r="H68" s="13" t="inlineStr">
        <is>
          <t>Good effort, but room for refinement.</t>
        </is>
      </c>
    </row>
    <row r="69" ht="22" customHeight="1">
      <c r="A69" s="102" t="inlineStr">
        <is>
          <t>H067</t>
        </is>
      </c>
      <c r="B69" s="10" t="inlineStr">
        <is>
          <t>Student</t>
        </is>
      </c>
      <c r="C69" s="11" t="n">
        <v>4</v>
      </c>
      <c r="D69" s="11" t="n">
        <v>3</v>
      </c>
      <c r="E69" s="11" t="n">
        <v>4</v>
      </c>
      <c r="F69" s="11" t="n">
        <v>4</v>
      </c>
      <c r="G69" s="12">
        <f>SUM(C69:F69)</f>
        <v/>
      </c>
      <c r="H69" s="13" t="inlineStr">
        <is>
          <t>Good effort, but room for refinement.</t>
        </is>
      </c>
    </row>
    <row r="70" ht="22" customHeight="1">
      <c r="A70" s="102" t="inlineStr">
        <is>
          <t>H090</t>
        </is>
      </c>
      <c r="B70" s="10" t="inlineStr">
        <is>
          <t>Student</t>
        </is>
      </c>
      <c r="C70" s="11" t="n">
        <v>4</v>
      </c>
      <c r="D70" s="11" t="n">
        <v>4</v>
      </c>
      <c r="E70" s="11" t="n">
        <v>4</v>
      </c>
      <c r="F70" s="11" t="n">
        <v>4</v>
      </c>
      <c r="G70" s="12">
        <f>SUM(C70:F70)</f>
        <v/>
      </c>
      <c r="H70" s="13" t="inlineStr">
        <is>
          <t>Excellent work! Clear and well-presented.</t>
        </is>
      </c>
    </row>
    <row r="71" ht="22" customHeight="1">
      <c r="A71" s="105" t="inlineStr">
        <is>
          <t>H094</t>
        </is>
      </c>
      <c r="B71" s="15" t="inlineStr">
        <is>
          <t>Student</t>
        </is>
      </c>
      <c r="C71" s="16" t="n">
        <v>4</v>
      </c>
      <c r="D71" s="16" t="n">
        <v>3</v>
      </c>
      <c r="E71" s="16" t="n">
        <v>4</v>
      </c>
      <c r="F71" s="16" t="n">
        <v>3</v>
      </c>
      <c r="G71" s="17">
        <f>SUM(C71:F71)</f>
        <v/>
      </c>
      <c r="H71" s="18" t="inlineStr">
        <is>
          <t>Good effort, but room for refinement.</t>
        </is>
      </c>
    </row>
    <row r="72" ht="15" customHeight="1">
      <c r="A72" s="36" t="inlineStr">
        <is>
          <t xml:space="preserve">  Group 16   |   Mathematical Operation of Pick-and-Place Autonomous Rover</t>
        </is>
      </c>
    </row>
    <row r="73" ht="22" customHeight="1">
      <c r="A73" s="82" t="inlineStr">
        <is>
          <t>H034</t>
        </is>
      </c>
      <c r="B73" s="20" t="inlineStr">
        <is>
          <t>Student</t>
        </is>
      </c>
      <c r="C73" s="11" t="n">
        <v>4</v>
      </c>
      <c r="D73" s="11" t="n">
        <v>4</v>
      </c>
      <c r="E73" s="11" t="n">
        <v>4</v>
      </c>
      <c r="F73" s="11" t="n">
        <v>3</v>
      </c>
      <c r="G73" s="12">
        <f>SUM(C73:F73)</f>
        <v/>
      </c>
      <c r="H73" s="21" t="inlineStr">
        <is>
          <t>Excellent work! Clear and well-presented.</t>
        </is>
      </c>
    </row>
    <row r="74" ht="22" customHeight="1">
      <c r="A74" s="82" t="inlineStr">
        <is>
          <t>H041</t>
        </is>
      </c>
      <c r="B74" s="20" t="inlineStr">
        <is>
          <t>Student</t>
        </is>
      </c>
      <c r="C74" s="11" t="n">
        <v>3</v>
      </c>
      <c r="D74" s="11" t="n">
        <v>4</v>
      </c>
      <c r="E74" s="11" t="n">
        <v>3</v>
      </c>
      <c r="F74" s="11" t="n">
        <v>3</v>
      </c>
      <c r="G74" s="12">
        <f>SUM(C74:F74)</f>
        <v/>
      </c>
      <c r="H74" s="21" t="inlineStr">
        <is>
          <t>Good effort, but room for refinement.</t>
        </is>
      </c>
    </row>
    <row r="75" ht="22" customHeight="1">
      <c r="A75" s="92" t="inlineStr">
        <is>
          <t>H056</t>
        </is>
      </c>
      <c r="B75" s="23" t="inlineStr">
        <is>
          <t>Student</t>
        </is>
      </c>
      <c r="C75" s="16" t="n">
        <v>3</v>
      </c>
      <c r="D75" s="16" t="n">
        <v>3</v>
      </c>
      <c r="E75" s="16" t="n">
        <v>3</v>
      </c>
      <c r="F75" s="16" t="n">
        <v>3</v>
      </c>
      <c r="G75" s="17">
        <f>SUM(C75:F75)</f>
        <v/>
      </c>
      <c r="H75" s="24" t="inlineStr">
        <is>
          <t>Good effort, but room for refinement.</t>
        </is>
      </c>
    </row>
    <row r="76" ht="15" customHeight="1">
      <c r="A76" s="36" t="inlineStr">
        <is>
          <t xml:space="preserve">  Group 17   |   Mathematical Modeling of Loading Effects on a Conveyor</t>
        </is>
      </c>
    </row>
    <row r="77" ht="22" customHeight="1">
      <c r="A77" s="102" t="inlineStr">
        <is>
          <t>H074</t>
        </is>
      </c>
      <c r="B77" s="10" t="inlineStr">
        <is>
          <t>Student</t>
        </is>
      </c>
      <c r="C77" s="11" t="n">
        <v>1</v>
      </c>
      <c r="D77" s="11" t="n">
        <v>1</v>
      </c>
      <c r="E77" s="11" t="n">
        <v>3</v>
      </c>
      <c r="F77" s="11" t="n">
        <v>3</v>
      </c>
      <c r="G77" s="12">
        <f>SUM(C77:F77)</f>
        <v/>
      </c>
      <c r="H77" s="13" t="inlineStr">
        <is>
          <t>Needs significant improvement. Deliverables missing.</t>
        </is>
      </c>
    </row>
    <row r="78" ht="22" customHeight="1">
      <c r="A78" s="105" t="inlineStr">
        <is>
          <t>H075</t>
        </is>
      </c>
      <c r="B78" s="15" t="inlineStr">
        <is>
          <t>Student</t>
        </is>
      </c>
      <c r="C78" s="16" t="n">
        <v>1</v>
      </c>
      <c r="D78" s="16" t="n">
        <v>1</v>
      </c>
      <c r="E78" s="16" t="n">
        <v>3</v>
      </c>
      <c r="F78" s="16" t="n">
        <v>3</v>
      </c>
      <c r="G78" s="17">
        <f>SUM(C78:F78)</f>
        <v/>
      </c>
      <c r="H78" s="18" t="inlineStr">
        <is>
          <t>Needs significant improvement. Deliverables missing.</t>
        </is>
      </c>
    </row>
    <row r="79" ht="40" customHeight="1">
      <c r="A79" s="37" t="inlineStr">
        <is>
          <t>GRADING SCALE (each criterion, out of 4):   4 = Excellent  |  3 = Good  |  2 = Satisfactory  |  1 = Needs Improvement  |  0 = Not demonstrated
  C1, C2, C3  [GROUP]: enter the SAME mark for all students in the group.     C4  [INDIVIDUAL]: evaluate each student SEPARATELY.</t>
        </is>
      </c>
    </row>
    <row r="80" ht="50" customHeight="1">
      <c r="A80" s="38" t="inlineStr">
        <is>
          <t>CRITERIA DETAIL:   C1 — Conceptual Novelty  [GROUP]:  Problem statement or application idea is unique and non-obvious.  |  C2 — IP Potential  [GROUP]:  Patentable elements, design rights, or trade-secret potential is identifiable.  |  C3 — Commercial Viability  [GROUP]:  Realistic market, startup, or product application exists for this system.  |  C4 — Individual IP Awareness  [INDIVIDUAL]:  This student understands IP implications of their work when questioned.</t>
        </is>
      </c>
    </row>
    <row r="81" ht="28" customHeight="1">
      <c r="A81" s="27" t="inlineStr">
        <is>
          <t>Evaluator Signature:   Ms. Hasti Chandarana</t>
        </is>
      </c>
      <c r="B81" s="111" t="n"/>
      <c r="C81" s="28" t="inlineStr">
        <is>
          <t>Date:   25 / 04 / 2026</t>
        </is>
      </c>
      <c r="D81" s="111" t="n"/>
      <c r="E81" s="28" t="inlineStr">
        <is>
          <t>Coordinated by:   Prof. Sunny Nanade  (Course Instructor, NMIMS)</t>
        </is>
      </c>
      <c r="F81" s="112" t="n"/>
      <c r="G81" s="112" t="n"/>
      <c r="H81" s="111" t="n"/>
    </row>
  </sheetData>
  <mergeCells count="28">
    <mergeCell ref="A67:H67"/>
    <mergeCell ref="A59:H59"/>
    <mergeCell ref="A64:H64"/>
    <mergeCell ref="A1:H1"/>
    <mergeCell ref="E81:H81"/>
    <mergeCell ref="A79:H79"/>
    <mergeCell ref="A6:H6"/>
    <mergeCell ref="A80:H80"/>
    <mergeCell ref="A12:H12"/>
    <mergeCell ref="A3:H3"/>
    <mergeCell ref="A21:H21"/>
    <mergeCell ref="A26:H26"/>
    <mergeCell ref="A55:H55"/>
    <mergeCell ref="A2:H2"/>
    <mergeCell ref="A42:H42"/>
    <mergeCell ref="A76:H76"/>
    <mergeCell ref="A47:H47"/>
    <mergeCell ref="A5:H5"/>
    <mergeCell ref="A8:H8"/>
    <mergeCell ref="A17:H17"/>
    <mergeCell ref="A4:H4"/>
    <mergeCell ref="A81:B81"/>
    <mergeCell ref="A38:H38"/>
    <mergeCell ref="C81:D81"/>
    <mergeCell ref="A72:H72"/>
    <mergeCell ref="A52:H52"/>
    <mergeCell ref="A31:H31"/>
    <mergeCell ref="A34:H34"/>
  </mergeCells>
  <pageMargins left="0.4" right="0.4" top="0.5" bottom="0.5" header="0.3" footer="0.3"/>
  <pageSetup orientation="landscape" paperSize="9" fitToHeight="0" fitToWidth="1"/>
  <headerFooter>
    <oddHeader>&amp;CMini Project Exhibition 2026  |  Ms. Hasti Chandarana  |  25 April 2026  |  /16 marks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A7A4A"/>
    <outlinePr summaryBelow="1" summaryRight="1"/>
    <pageSetUpPr fitToPage="1"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35" customWidth="1" min="8" max="8"/>
  </cols>
  <sheetData>
    <row r="1" ht="20" customHeight="1">
      <c r="A1" s="39" t="inlineStr">
        <is>
          <t>MINI PROJECT EXHIBITION 2026  |  Dynamic System Modeling (702MH0C023)  |  B.Tech Mechatronics Engineering, Semester IV, AY 2025-26  |  NMIMS MPSTME</t>
        </is>
      </c>
    </row>
    <row r="2" ht="30" customHeight="1">
      <c r="A2" s="40" t="inlineStr">
        <is>
          <t>EVALUATOR:   Dr. / Ms. Nitu Gupta          ROLE:   Mathematics Expert</t>
        </is>
      </c>
    </row>
    <row r="3" ht="24" customHeight="1">
      <c r="A3" s="41" t="inlineStr">
        <is>
          <t>Session:  MORNING SESSION  |  09:00 AM to 01:00 PM     Date:  25 April 2026 (Saturday)     Venue:  AR/VR Lab, MPSTME, NMIMS</t>
        </is>
      </c>
    </row>
    <row r="4" ht="20" customHeight="1">
      <c r="A4" s="42" t="inlineStr">
        <is>
          <t>ASSESSMENT FOCUS:   Mathematical rigour, correctness of derivation, and simulation validation — the core learning artifact of SF-PBL.</t>
        </is>
      </c>
    </row>
    <row r="5" ht="18" customHeight="1">
      <c r="A5" s="43" t="inlineStr">
        <is>
          <t>SF-PBL CORE: Mathematical derivation (ODEs, Lagrangian, state-space) is the PRIMARY artifact. Python / MATLAB code is secondary. Assess derivation first.</t>
        </is>
      </c>
    </row>
    <row r="6" ht="22" customHeight="1">
      <c r="A6" s="44" t="inlineStr">
        <is>
          <t>CRITERIA KEY:   C1: Derivation Correctness  |  C2: Equation Formulation  |  C3: Simulation Validation  |  C4: Individual Mathematical Grasp</t>
        </is>
      </c>
    </row>
    <row r="7" ht="34" customHeight="1">
      <c r="A7" s="45" t="inlineStr">
        <is>
          <t>Roll No.</t>
        </is>
      </c>
      <c r="B7" s="45" t="inlineStr">
        <is>
          <t>Student Name</t>
        </is>
      </c>
      <c r="C7" s="45" t="inlineStr">
        <is>
          <t>C1
/4</t>
        </is>
      </c>
      <c r="D7" s="45" t="inlineStr">
        <is>
          <t>C2
/4</t>
        </is>
      </c>
      <c r="E7" s="45" t="inlineStr">
        <is>
          <t>C3
/4</t>
        </is>
      </c>
      <c r="F7" s="45" t="inlineStr">
        <is>
          <t>C4
/4</t>
        </is>
      </c>
      <c r="G7" s="45" t="inlineStr">
        <is>
          <t>Total
/16</t>
        </is>
      </c>
      <c r="H7" s="45" t="inlineStr">
        <is>
          <t>Comments / Feedback</t>
        </is>
      </c>
    </row>
    <row r="8" ht="15" customHeight="1">
      <c r="A8" s="46" t="inlineStr">
        <is>
          <t xml:space="preserve">  Group 1   |   Mathematical Modeling and Dynamic Analysis of a Multi-Terrain Four-Wheeled Robot</t>
        </is>
      </c>
    </row>
    <row r="9" ht="22" customHeight="1">
      <c r="A9" s="102" t="inlineStr">
        <is>
          <t>H079</t>
        </is>
      </c>
      <c r="B9" s="10" t="inlineStr">
        <is>
          <t>Student</t>
        </is>
      </c>
      <c r="C9" s="11" t="n">
        <v>3</v>
      </c>
      <c r="D9" s="11" t="n">
        <v>4</v>
      </c>
      <c r="E9" s="11" t="n">
        <v>1</v>
      </c>
      <c r="F9" s="11" t="n">
        <v>4</v>
      </c>
      <c r="G9" s="12">
        <f>SUM(C9:F9)</f>
        <v/>
      </c>
      <c r="H9" s="13" t="inlineStr">
        <is>
          <t>Missing key simulation/validation components.</t>
        </is>
      </c>
    </row>
    <row r="10" ht="22" customHeight="1">
      <c r="A10" s="102" t="inlineStr">
        <is>
          <t>H082</t>
        </is>
      </c>
      <c r="B10" s="10" t="inlineStr">
        <is>
          <t>Student</t>
        </is>
      </c>
      <c r="C10" s="11" t="n">
        <v>3</v>
      </c>
      <c r="D10" s="11" t="n">
        <v>3</v>
      </c>
      <c r="E10" s="11" t="n">
        <v>1</v>
      </c>
      <c r="F10" s="11" t="n">
        <v>3</v>
      </c>
      <c r="G10" s="12">
        <f>SUM(C10:F10)</f>
        <v/>
      </c>
      <c r="H10" s="13" t="inlineStr">
        <is>
          <t>Missing key simulation/validation components.</t>
        </is>
      </c>
    </row>
    <row r="11" ht="22" customHeight="1">
      <c r="A11" s="105" t="inlineStr">
        <is>
          <t>H084</t>
        </is>
      </c>
      <c r="B11" s="15" t="inlineStr">
        <is>
          <t>Student</t>
        </is>
      </c>
      <c r="C11" s="16" t="n">
        <v>4</v>
      </c>
      <c r="D11" s="16" t="n">
        <v>4</v>
      </c>
      <c r="E11" s="16" t="n">
        <v>1</v>
      </c>
      <c r="F11" s="16" t="n">
        <v>3</v>
      </c>
      <c r="G11" s="17">
        <f>SUM(C11:F11)</f>
        <v/>
      </c>
      <c r="H11" s="18" t="inlineStr">
        <is>
          <t>Missing key simulation/validation components.</t>
        </is>
      </c>
    </row>
    <row r="12" ht="15" customHeight="1">
      <c r="A12" s="46" t="inlineStr">
        <is>
          <t xml:space="preserve">  Group 2   |   Modeling Rocket Landing - Docking</t>
        </is>
      </c>
    </row>
    <row r="13" ht="22" customHeight="1">
      <c r="A13" s="82" t="inlineStr">
        <is>
          <t>H004</t>
        </is>
      </c>
      <c r="B13" s="20" t="inlineStr">
        <is>
          <t>Student</t>
        </is>
      </c>
      <c r="C13" s="11" t="n">
        <v>4</v>
      </c>
      <c r="D13" s="11" t="n">
        <v>4</v>
      </c>
      <c r="E13" s="11" t="n">
        <v>4</v>
      </c>
      <c r="F13" s="11" t="n">
        <v>3</v>
      </c>
      <c r="G13" s="12">
        <f>SUM(C13:F13)</f>
        <v/>
      </c>
      <c r="H13" s="21" t="inlineStr">
        <is>
          <t>Excellent work! Clear and well-presented.</t>
        </is>
      </c>
    </row>
    <row r="14" ht="22" customHeight="1">
      <c r="A14" s="82" t="inlineStr">
        <is>
          <t>H005</t>
        </is>
      </c>
      <c r="B14" s="20" t="inlineStr">
        <is>
          <t>Student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2">
        <f>SUM(C14:F14)</f>
        <v/>
      </c>
      <c r="H14" s="21" t="inlineStr">
        <is>
          <t>Absent throughout.</t>
        </is>
      </c>
    </row>
    <row r="15" ht="22" customHeight="1">
      <c r="A15" s="82" t="inlineStr">
        <is>
          <t>H028</t>
        </is>
      </c>
      <c r="B15" s="20" t="inlineStr">
        <is>
          <t>Student</t>
        </is>
      </c>
      <c r="C15" s="11" t="n">
        <v>4</v>
      </c>
      <c r="D15" s="11" t="n">
        <v>4</v>
      </c>
      <c r="E15" s="11" t="n">
        <v>4</v>
      </c>
      <c r="F15" s="11" t="n">
        <v>4</v>
      </c>
      <c r="G15" s="12">
        <f>SUM(C15:F15)</f>
        <v/>
      </c>
      <c r="H15" s="21" t="inlineStr">
        <is>
          <t>Excellent work! Clear and well-presented.</t>
        </is>
      </c>
    </row>
    <row r="16" ht="22" customHeight="1">
      <c r="A16" s="92" t="inlineStr">
        <is>
          <t>H031</t>
        </is>
      </c>
      <c r="B16" s="23" t="inlineStr">
        <is>
          <t>Student</t>
        </is>
      </c>
      <c r="C16" s="16" t="n">
        <v>3</v>
      </c>
      <c r="D16" s="16" t="n">
        <v>3</v>
      </c>
      <c r="E16" s="16" t="n">
        <v>4</v>
      </c>
      <c r="F16" s="16" t="n">
        <v>3</v>
      </c>
      <c r="G16" s="17">
        <f>SUM(C16:F16)</f>
        <v/>
      </c>
      <c r="H16" s="24" t="inlineStr">
        <is>
          <t>Good effort, but room for refinement.</t>
        </is>
      </c>
    </row>
    <row r="17" ht="15" customHeight="1">
      <c r="A17" s="46" t="inlineStr">
        <is>
          <t xml:space="preserve">  Group 3   |   Dynamic Modeling and Stability Analysis of 2-DOF Leg Mechanism for Quadruped Robot</t>
        </is>
      </c>
    </row>
    <row r="18" ht="22" customHeight="1">
      <c r="A18" s="102" t="inlineStr">
        <is>
          <t>H009</t>
        </is>
      </c>
      <c r="B18" s="10" t="inlineStr">
        <is>
          <t>Student</t>
        </is>
      </c>
      <c r="C18" s="11" t="n">
        <v>3</v>
      </c>
      <c r="D18" s="11" t="n">
        <v>4</v>
      </c>
      <c r="E18" s="11" t="n">
        <v>3</v>
      </c>
      <c r="F18" s="11" t="n">
        <v>4</v>
      </c>
      <c r="G18" s="12">
        <f>SUM(C18:F18)</f>
        <v/>
      </c>
      <c r="H18" s="13" t="inlineStr">
        <is>
          <t>Good effort, but room for refinement.</t>
        </is>
      </c>
    </row>
    <row r="19" ht="22" customHeight="1">
      <c r="A19" s="102" t="inlineStr">
        <is>
          <t>H012</t>
        </is>
      </c>
      <c r="B19" s="10" t="inlineStr">
        <is>
          <t>Student</t>
        </is>
      </c>
      <c r="C19" s="11" t="n">
        <v>4</v>
      </c>
      <c r="D19" s="11" t="n">
        <v>3</v>
      </c>
      <c r="E19" s="11" t="n">
        <v>3</v>
      </c>
      <c r="F19" s="11" t="n">
        <v>3</v>
      </c>
      <c r="G19" s="12">
        <f>SUM(C19:F19)</f>
        <v/>
      </c>
      <c r="H19" s="13" t="inlineStr">
        <is>
          <t>Good effort, but room for refinement.</t>
        </is>
      </c>
    </row>
    <row r="20" ht="22" customHeight="1">
      <c r="A20" s="105" t="inlineStr">
        <is>
          <t>H033</t>
        </is>
      </c>
      <c r="B20" s="15" t="inlineStr">
        <is>
          <t>Student</t>
        </is>
      </c>
      <c r="C20" s="16" t="n">
        <v>3</v>
      </c>
      <c r="D20" s="16" t="n">
        <v>4</v>
      </c>
      <c r="E20" s="16" t="n">
        <v>4</v>
      </c>
      <c r="F20" s="16" t="n">
        <v>3</v>
      </c>
      <c r="G20" s="17">
        <f>SUM(C20:F20)</f>
        <v/>
      </c>
      <c r="H20" s="18" t="inlineStr">
        <is>
          <t>Good effort, but room for refinement.</t>
        </is>
      </c>
    </row>
    <row r="21" ht="15" customHeight="1">
      <c r="A21" s="46" t="inlineStr">
        <is>
          <t xml:space="preserve">  Group 4   |   Critical Skid Velocity Mathematical Modeling</t>
        </is>
      </c>
    </row>
    <row r="22" ht="22" customHeight="1">
      <c r="A22" s="82" t="inlineStr">
        <is>
          <t>H014</t>
        </is>
      </c>
      <c r="B22" s="20" t="inlineStr">
        <is>
          <t>Student</t>
        </is>
      </c>
      <c r="C22" s="11" t="n">
        <v>1</v>
      </c>
      <c r="D22" s="11" t="n">
        <v>1</v>
      </c>
      <c r="E22" s="11" t="n">
        <v>1</v>
      </c>
      <c r="F22" s="11" t="n">
        <v>3</v>
      </c>
      <c r="G22" s="12">
        <f>SUM(C22:F22)</f>
        <v/>
      </c>
      <c r="H22" s="21" t="inlineStr">
        <is>
          <t>Missing key simulation/validation components.</t>
        </is>
      </c>
    </row>
    <row r="23" ht="22" customHeight="1">
      <c r="A23" s="82" t="inlineStr">
        <is>
          <t>H015</t>
        </is>
      </c>
      <c r="B23" s="20" t="inlineStr">
        <is>
          <t>Student</t>
        </is>
      </c>
      <c r="C23" s="11" t="n">
        <v>1</v>
      </c>
      <c r="D23" s="11" t="n">
        <v>1</v>
      </c>
      <c r="E23" s="11" t="n">
        <v>1</v>
      </c>
      <c r="F23" s="11" t="n">
        <v>3</v>
      </c>
      <c r="G23" s="12">
        <f>SUM(C23:F23)</f>
        <v/>
      </c>
      <c r="H23" s="21" t="inlineStr">
        <is>
          <t>Missing key simulation/validation components.</t>
        </is>
      </c>
    </row>
    <row r="24" ht="22" customHeight="1">
      <c r="A24" s="82" t="inlineStr">
        <is>
          <t>H016</t>
        </is>
      </c>
      <c r="B24" s="20" t="inlineStr">
        <is>
          <t>Student</t>
        </is>
      </c>
      <c r="C24" s="11" t="n">
        <v>1</v>
      </c>
      <c r="D24" s="11" t="n">
        <v>1</v>
      </c>
      <c r="E24" s="11" t="n">
        <v>1</v>
      </c>
      <c r="F24" s="11" t="n">
        <v>4</v>
      </c>
      <c r="G24" s="12">
        <f>SUM(C24:F24)</f>
        <v/>
      </c>
      <c r="H24" s="21" t="inlineStr">
        <is>
          <t>Missing key simulation/validation components.</t>
        </is>
      </c>
    </row>
    <row r="25" ht="22" customHeight="1">
      <c r="A25" s="92" t="inlineStr">
        <is>
          <t>H025</t>
        </is>
      </c>
      <c r="B25" s="23" t="inlineStr">
        <is>
          <t>Student</t>
        </is>
      </c>
      <c r="C25" s="16" t="n">
        <v>1</v>
      </c>
      <c r="D25" s="16" t="n">
        <v>1</v>
      </c>
      <c r="E25" s="16" t="n">
        <v>1</v>
      </c>
      <c r="F25" s="16" t="n">
        <v>4</v>
      </c>
      <c r="G25" s="17">
        <f>SUM(C25:F25)</f>
        <v/>
      </c>
      <c r="H25" s="24" t="inlineStr">
        <is>
          <t>Missing key simulation/validation components.</t>
        </is>
      </c>
    </row>
    <row r="26" ht="15" customHeight="1">
      <c r="A26" s="46" t="inlineStr">
        <is>
          <t xml:space="preserve">  Group 5   |   Humanoid Robot - Dynamic Modeling</t>
        </is>
      </c>
    </row>
    <row r="27" ht="22" customHeight="1">
      <c r="A27" s="102" t="inlineStr">
        <is>
          <t>H003</t>
        </is>
      </c>
      <c r="B27" s="10" t="inlineStr">
        <is>
          <t>Student</t>
        </is>
      </c>
      <c r="C27" s="11" t="n">
        <v>3</v>
      </c>
      <c r="D27" s="11" t="n">
        <v>4</v>
      </c>
      <c r="E27" s="11" t="n">
        <v>3</v>
      </c>
      <c r="F27" s="11" t="n">
        <v>4</v>
      </c>
      <c r="G27" s="12">
        <f>SUM(C27:F27)</f>
        <v/>
      </c>
      <c r="H27" s="13" t="inlineStr">
        <is>
          <t>Good effort, but room for refinement.</t>
        </is>
      </c>
    </row>
    <row r="28" ht="22" customHeight="1">
      <c r="A28" s="102" t="inlineStr">
        <is>
          <t>H006</t>
        </is>
      </c>
      <c r="B28" s="10" t="inlineStr">
        <is>
          <t>Student</t>
        </is>
      </c>
      <c r="C28" s="11" t="n">
        <v>4</v>
      </c>
      <c r="D28" s="11" t="n">
        <v>3</v>
      </c>
      <c r="E28" s="11" t="n">
        <v>4</v>
      </c>
      <c r="F28" s="11" t="n">
        <v>3</v>
      </c>
      <c r="G28" s="12">
        <f>SUM(C28:F28)</f>
        <v/>
      </c>
      <c r="H28" s="13" t="inlineStr">
        <is>
          <t>Good effort, but room for refinement.</t>
        </is>
      </c>
    </row>
    <row r="29" ht="22" customHeight="1">
      <c r="A29" s="102" t="inlineStr">
        <is>
          <t>H024</t>
        </is>
      </c>
      <c r="B29" s="10" t="inlineStr">
        <is>
          <t>Student</t>
        </is>
      </c>
      <c r="C29" s="11" t="n">
        <v>3</v>
      </c>
      <c r="D29" s="11" t="n">
        <v>3</v>
      </c>
      <c r="E29" s="11" t="n">
        <v>3</v>
      </c>
      <c r="F29" s="11" t="n">
        <v>4</v>
      </c>
      <c r="G29" s="12">
        <f>SUM(C29:F29)</f>
        <v/>
      </c>
      <c r="H29" s="13" t="inlineStr">
        <is>
          <t>Good effort, but room for refinement.</t>
        </is>
      </c>
    </row>
    <row r="30" ht="22" customHeight="1">
      <c r="A30" s="105" t="inlineStr">
        <is>
          <t>H029</t>
        </is>
      </c>
      <c r="B30" s="15" t="inlineStr">
        <is>
          <t>Student</t>
        </is>
      </c>
      <c r="C30" s="16" t="n">
        <v>4</v>
      </c>
      <c r="D30" s="16" t="n">
        <v>4</v>
      </c>
      <c r="E30" s="16" t="n">
        <v>4</v>
      </c>
      <c r="F30" s="16" t="n">
        <v>4</v>
      </c>
      <c r="G30" s="17">
        <f>SUM(C30:F30)</f>
        <v/>
      </c>
      <c r="H30" s="18" t="inlineStr">
        <is>
          <t>Excellent work! Clear and well-presented.</t>
        </is>
      </c>
    </row>
    <row r="31" ht="15" customHeight="1">
      <c r="A31" s="46" t="inlineStr">
        <is>
          <t xml:space="preserve">  Group 6   |   Dynamic Modeling of Hydrogen Fuel Cell-Battery Hybrid Powertrain for Electric UAV</t>
        </is>
      </c>
    </row>
    <row r="32" ht="22" customHeight="1">
      <c r="A32" s="82" t="inlineStr">
        <is>
          <t>H001</t>
        </is>
      </c>
      <c r="B32" s="20" t="inlineStr">
        <is>
          <t>Student</t>
        </is>
      </c>
      <c r="C32" s="11" t="n">
        <v>1</v>
      </c>
      <c r="D32" s="11" t="n">
        <v>1</v>
      </c>
      <c r="E32" s="11" t="n">
        <v>1</v>
      </c>
      <c r="F32" s="11" t="n">
        <v>3</v>
      </c>
      <c r="G32" s="12">
        <f>SUM(C32:F32)</f>
        <v/>
      </c>
      <c r="H32" s="21" t="inlineStr">
        <is>
          <t>Missing key simulation/validation components.</t>
        </is>
      </c>
    </row>
    <row r="33" ht="22" customHeight="1">
      <c r="A33" s="92" t="inlineStr">
        <is>
          <t>H002</t>
        </is>
      </c>
      <c r="B33" s="23" t="inlineStr">
        <is>
          <t>Student</t>
        </is>
      </c>
      <c r="C33" s="16" t="n">
        <v>1</v>
      </c>
      <c r="D33" s="16" t="n">
        <v>1</v>
      </c>
      <c r="E33" s="16" t="n">
        <v>1</v>
      </c>
      <c r="F33" s="16" t="n">
        <v>4</v>
      </c>
      <c r="G33" s="17">
        <f>SUM(C33:F33)</f>
        <v/>
      </c>
      <c r="H33" s="24" t="inlineStr">
        <is>
          <t>Missing key simulation/validation components.</t>
        </is>
      </c>
    </row>
    <row r="34" ht="15" customHeight="1">
      <c r="A34" s="46" t="inlineStr">
        <is>
          <t xml:space="preserve">  Group 7   |   Hexapod Robot - Mathematical Modeling</t>
        </is>
      </c>
    </row>
    <row r="35" ht="22" customHeight="1">
      <c r="A35" s="102" t="inlineStr">
        <is>
          <t>H021</t>
        </is>
      </c>
      <c r="B35" s="10" t="inlineStr">
        <is>
          <t>Student</t>
        </is>
      </c>
      <c r="C35" s="11" t="n">
        <v>4</v>
      </c>
      <c r="D35" s="11" t="n">
        <v>3</v>
      </c>
      <c r="E35" s="11" t="n">
        <v>4</v>
      </c>
      <c r="F35" s="11" t="n">
        <v>4</v>
      </c>
      <c r="G35" s="12">
        <f>SUM(C35:F35)</f>
        <v/>
      </c>
      <c r="H35" s="13" t="inlineStr">
        <is>
          <t>Good effort, but room for refinement.</t>
        </is>
      </c>
    </row>
    <row r="36" ht="22" customHeight="1">
      <c r="A36" s="102" t="inlineStr">
        <is>
          <t>H022</t>
        </is>
      </c>
      <c r="B36" s="10" t="inlineStr">
        <is>
          <t>Student</t>
        </is>
      </c>
      <c r="C36" s="11" t="n">
        <v>4</v>
      </c>
      <c r="D36" s="11" t="n">
        <v>4</v>
      </c>
      <c r="E36" s="11" t="n">
        <v>3</v>
      </c>
      <c r="F36" s="11" t="n">
        <v>3</v>
      </c>
      <c r="G36" s="12">
        <f>SUM(C36:F36)</f>
        <v/>
      </c>
      <c r="H36" s="13" t="inlineStr">
        <is>
          <t>Good effort, but room for refinement.</t>
        </is>
      </c>
    </row>
    <row r="37" ht="22" customHeight="1">
      <c r="A37" s="105" t="inlineStr">
        <is>
          <t>H023</t>
        </is>
      </c>
      <c r="B37" s="15" t="inlineStr">
        <is>
          <t>Student</t>
        </is>
      </c>
      <c r="C37" s="16" t="n">
        <v>3</v>
      </c>
      <c r="D37" s="16" t="n">
        <v>3</v>
      </c>
      <c r="E37" s="16" t="n">
        <v>4</v>
      </c>
      <c r="F37" s="16" t="n">
        <v>4</v>
      </c>
      <c r="G37" s="17">
        <f>SUM(C37:F37)</f>
        <v/>
      </c>
      <c r="H37" s="18" t="inlineStr">
        <is>
          <t>Good effort, but room for refinement.</t>
        </is>
      </c>
    </row>
    <row r="38" ht="15" customHeight="1">
      <c r="A38" s="46" t="inlineStr">
        <is>
          <t xml:space="preserve">  Group 8   |   Mathematical Modeling and Dynamics of Ball Balancing Robot using 6-DOF Stewart Mechanism</t>
        </is>
      </c>
    </row>
    <row r="39" ht="22" customHeight="1">
      <c r="A39" s="82" t="inlineStr">
        <is>
          <t>H059</t>
        </is>
      </c>
      <c r="B39" s="20" t="inlineStr">
        <is>
          <t>Student</t>
        </is>
      </c>
      <c r="C39" s="11" t="n">
        <v>3</v>
      </c>
      <c r="D39" s="11" t="n">
        <v>3</v>
      </c>
      <c r="E39" s="11" t="n">
        <v>4</v>
      </c>
      <c r="F39" s="11" t="n">
        <v>4</v>
      </c>
      <c r="G39" s="12">
        <f>SUM(C39:F39)</f>
        <v/>
      </c>
      <c r="H39" s="21" t="inlineStr">
        <is>
          <t>Good effort, but room for refinement.</t>
        </is>
      </c>
    </row>
    <row r="40" ht="22" customHeight="1">
      <c r="A40" s="82" t="inlineStr">
        <is>
          <t>H060</t>
        </is>
      </c>
      <c r="B40" s="20" t="inlineStr">
        <is>
          <t>Student</t>
        </is>
      </c>
      <c r="C40" s="11" t="n">
        <v>4</v>
      </c>
      <c r="D40" s="11" t="n">
        <v>4</v>
      </c>
      <c r="E40" s="11" t="n">
        <v>4</v>
      </c>
      <c r="F40" s="11" t="n">
        <v>4</v>
      </c>
      <c r="G40" s="12">
        <f>SUM(C40:F40)</f>
        <v/>
      </c>
      <c r="H40" s="21" t="inlineStr">
        <is>
          <t>Excellent work! Clear and well-presented.</t>
        </is>
      </c>
    </row>
    <row r="41" ht="22" customHeight="1">
      <c r="A41" s="92" t="inlineStr">
        <is>
          <t>H062</t>
        </is>
      </c>
      <c r="B41" s="23" t="inlineStr">
        <is>
          <t>Student</t>
        </is>
      </c>
      <c r="C41" s="16" t="n">
        <v>3</v>
      </c>
      <c r="D41" s="16" t="n">
        <v>3</v>
      </c>
      <c r="E41" s="16" t="n">
        <v>3</v>
      </c>
      <c r="F41" s="16" t="n">
        <v>4</v>
      </c>
      <c r="G41" s="17">
        <f>SUM(C41:F41)</f>
        <v/>
      </c>
      <c r="H41" s="24" t="inlineStr">
        <is>
          <t>Good effort, but room for refinement.</t>
        </is>
      </c>
    </row>
    <row r="42" ht="15" customHeight="1">
      <c r="A42" s="46" t="inlineStr">
        <is>
          <t xml:space="preserve">  Group 9   |   Dynamic Modelling of Sensor-Integrated Remotely Operated Underwater Vehicle (ROV)</t>
        </is>
      </c>
    </row>
    <row r="43" ht="22" customHeight="1">
      <c r="A43" s="102" t="inlineStr">
        <is>
          <t>H035</t>
        </is>
      </c>
      <c r="B43" s="10" t="inlineStr">
        <is>
          <t>Student</t>
        </is>
      </c>
      <c r="C43" s="11" t="n">
        <v>4</v>
      </c>
      <c r="D43" s="11" t="n">
        <v>3</v>
      </c>
      <c r="E43" s="11" t="n">
        <v>3</v>
      </c>
      <c r="F43" s="11" t="n">
        <v>4</v>
      </c>
      <c r="G43" s="12">
        <f>SUM(C43:F43)</f>
        <v/>
      </c>
      <c r="H43" s="13" t="inlineStr">
        <is>
          <t>Good effort, but room for refinement.</t>
        </is>
      </c>
    </row>
    <row r="44" ht="22" customHeight="1">
      <c r="A44" s="102" t="inlineStr">
        <is>
          <t>H040</t>
        </is>
      </c>
      <c r="B44" s="10" t="inlineStr">
        <is>
          <t>Student</t>
        </is>
      </c>
      <c r="C44" s="11" t="n">
        <v>4</v>
      </c>
      <c r="D44" s="11" t="n">
        <v>3</v>
      </c>
      <c r="E44" s="11" t="n">
        <v>4</v>
      </c>
      <c r="F44" s="11" t="n">
        <v>3</v>
      </c>
      <c r="G44" s="12">
        <f>SUM(C44:F44)</f>
        <v/>
      </c>
      <c r="H44" s="13" t="inlineStr">
        <is>
          <t>Good effort, but room for refinement.</t>
        </is>
      </c>
    </row>
    <row r="45" ht="22" customHeight="1">
      <c r="A45" s="102" t="inlineStr">
        <is>
          <t>H046</t>
        </is>
      </c>
      <c r="B45" s="10" t="inlineStr">
        <is>
          <t>Student</t>
        </is>
      </c>
      <c r="C45" s="11" t="n">
        <v>4</v>
      </c>
      <c r="D45" s="11" t="n">
        <v>3</v>
      </c>
      <c r="E45" s="11" t="n">
        <v>3</v>
      </c>
      <c r="F45" s="11" t="n">
        <v>4</v>
      </c>
      <c r="G45" s="12">
        <f>SUM(C45:F45)</f>
        <v/>
      </c>
      <c r="H45" s="13" t="inlineStr">
        <is>
          <t>Good effort, but room for refinement.</t>
        </is>
      </c>
    </row>
    <row r="46" ht="22" customHeight="1">
      <c r="A46" s="105" t="inlineStr">
        <is>
          <t>H047</t>
        </is>
      </c>
      <c r="B46" s="15" t="inlineStr">
        <is>
          <t>Student</t>
        </is>
      </c>
      <c r="C46" s="16" t="n">
        <v>3</v>
      </c>
      <c r="D46" s="16" t="n">
        <v>3</v>
      </c>
      <c r="E46" s="16" t="n">
        <v>3</v>
      </c>
      <c r="F46" s="16" t="n">
        <v>4</v>
      </c>
      <c r="G46" s="17">
        <f>SUM(C46:F46)</f>
        <v/>
      </c>
      <c r="H46" s="18" t="inlineStr">
        <is>
          <t>Good effort, but room for refinement.</t>
        </is>
      </c>
    </row>
    <row r="47" ht="15" customHeight="1">
      <c r="A47" s="46" t="inlineStr">
        <is>
          <t xml:space="preserve">  Group 10   |   Mathematical Modeling of Motors</t>
        </is>
      </c>
    </row>
    <row r="48" ht="22" customHeight="1">
      <c r="A48" s="82" t="inlineStr">
        <is>
          <t>H036</t>
        </is>
      </c>
      <c r="B48" s="20" t="inlineStr">
        <is>
          <t>Student</t>
        </is>
      </c>
      <c r="C48" s="11" t="n">
        <v>4</v>
      </c>
      <c r="D48" s="11" t="n">
        <v>3</v>
      </c>
      <c r="E48" s="11" t="n">
        <v>1</v>
      </c>
      <c r="F48" s="11" t="n">
        <v>4</v>
      </c>
      <c r="G48" s="12">
        <f>SUM(C48:F48)</f>
        <v/>
      </c>
      <c r="H48" s="21" t="inlineStr">
        <is>
          <t>Missing key simulation/validation components.</t>
        </is>
      </c>
    </row>
    <row r="49" ht="22" customHeight="1">
      <c r="A49" s="82" t="inlineStr">
        <is>
          <t>H050</t>
        </is>
      </c>
      <c r="B49" s="20" t="inlineStr">
        <is>
          <t>Student</t>
        </is>
      </c>
      <c r="C49" s="11" t="n">
        <v>3</v>
      </c>
      <c r="D49" s="11" t="n">
        <v>3</v>
      </c>
      <c r="E49" s="11" t="n">
        <v>1</v>
      </c>
      <c r="F49" s="11" t="n">
        <v>4</v>
      </c>
      <c r="G49" s="12">
        <f>SUM(C49:F49)</f>
        <v/>
      </c>
      <c r="H49" s="21" t="inlineStr">
        <is>
          <t>Missing key simulation/validation components.</t>
        </is>
      </c>
    </row>
    <row r="50" ht="22" customHeight="1">
      <c r="A50" s="82" t="inlineStr">
        <is>
          <t>H051</t>
        </is>
      </c>
      <c r="B50" s="20" t="inlineStr">
        <is>
          <t>Student</t>
        </is>
      </c>
      <c r="C50" s="11" t="n">
        <v>3</v>
      </c>
      <c r="D50" s="11" t="n">
        <v>3</v>
      </c>
      <c r="E50" s="11" t="n">
        <v>1</v>
      </c>
      <c r="F50" s="11" t="n">
        <v>4</v>
      </c>
      <c r="G50" s="12">
        <f>SUM(C50:F50)</f>
        <v/>
      </c>
      <c r="H50" s="21" t="inlineStr">
        <is>
          <t>Missing key simulation/validation components.</t>
        </is>
      </c>
    </row>
    <row r="51" ht="22" customHeight="1">
      <c r="A51" s="92" t="inlineStr">
        <is>
          <t>H052</t>
        </is>
      </c>
      <c r="B51" s="23" t="inlineStr">
        <is>
          <t>Student</t>
        </is>
      </c>
      <c r="C51" s="16" t="n">
        <v>4</v>
      </c>
      <c r="D51" s="16" t="n">
        <v>4</v>
      </c>
      <c r="E51" s="16" t="n">
        <v>1</v>
      </c>
      <c r="F51" s="16" t="n">
        <v>4</v>
      </c>
      <c r="G51" s="17">
        <f>SUM(C51:F51)</f>
        <v/>
      </c>
      <c r="H51" s="24" t="inlineStr">
        <is>
          <t>Missing key simulation/validation components.</t>
        </is>
      </c>
    </row>
    <row r="52" ht="15" customHeight="1">
      <c r="A52" s="46" t="inlineStr">
        <is>
          <t xml:space="preserve">  Group 11   |   Digital Twin (DT) of Motors</t>
        </is>
      </c>
    </row>
    <row r="53" ht="22" customHeight="1">
      <c r="A53" s="102" t="inlineStr">
        <is>
          <t>H020</t>
        </is>
      </c>
      <c r="B53" s="10" t="inlineStr">
        <is>
          <t>Student</t>
        </is>
      </c>
      <c r="C53" s="11" t="n">
        <v>4</v>
      </c>
      <c r="D53" s="11" t="n">
        <v>4</v>
      </c>
      <c r="E53" s="11" t="n">
        <v>4</v>
      </c>
      <c r="F53" s="11" t="n">
        <v>4</v>
      </c>
      <c r="G53" s="12">
        <f>SUM(C53:F53)</f>
        <v/>
      </c>
      <c r="H53" s="13" t="inlineStr">
        <is>
          <t>Excellent work! Clear and well-presented.</t>
        </is>
      </c>
    </row>
    <row r="54" ht="22" customHeight="1">
      <c r="A54" s="105" t="inlineStr">
        <is>
          <t>H096</t>
        </is>
      </c>
      <c r="B54" s="15" t="inlineStr">
        <is>
          <t>Student</t>
        </is>
      </c>
      <c r="C54" s="16" t="n">
        <v>3</v>
      </c>
      <c r="D54" s="16" t="n">
        <v>4</v>
      </c>
      <c r="E54" s="16" t="n">
        <v>4</v>
      </c>
      <c r="F54" s="16" t="n">
        <v>3</v>
      </c>
      <c r="G54" s="17">
        <f>SUM(C54:F54)</f>
        <v/>
      </c>
      <c r="H54" s="18" t="inlineStr">
        <is>
          <t>Good effort, but room for refinement.</t>
        </is>
      </c>
    </row>
    <row r="55" ht="15" customHeight="1">
      <c r="A55" s="46" t="inlineStr">
        <is>
          <t xml:space="preserve">  Group 12   |   Mathematical Modeling for Robotic Gripper Mechanism</t>
        </is>
      </c>
    </row>
    <row r="56" ht="22" customHeight="1">
      <c r="A56" s="82" t="inlineStr">
        <is>
          <t>H076</t>
        </is>
      </c>
      <c r="B56" s="20" t="inlineStr">
        <is>
          <t>Student</t>
        </is>
      </c>
      <c r="C56" s="11" t="n">
        <v>4</v>
      </c>
      <c r="D56" s="11" t="n">
        <v>3</v>
      </c>
      <c r="E56" s="11" t="n">
        <v>1</v>
      </c>
      <c r="F56" s="11" t="n">
        <v>4</v>
      </c>
      <c r="G56" s="12">
        <f>SUM(C56:F56)</f>
        <v/>
      </c>
      <c r="H56" s="21" t="inlineStr">
        <is>
          <t>Missing key simulation/validation components.</t>
        </is>
      </c>
    </row>
    <row r="57" ht="22" customHeight="1">
      <c r="A57" s="82" t="inlineStr">
        <is>
          <t>H078</t>
        </is>
      </c>
      <c r="B57" s="20" t="inlineStr">
        <is>
          <t>Student</t>
        </is>
      </c>
      <c r="C57" s="11" t="n">
        <v>3</v>
      </c>
      <c r="D57" s="11" t="n">
        <v>3</v>
      </c>
      <c r="E57" s="11" t="n">
        <v>1</v>
      </c>
      <c r="F57" s="11" t="n">
        <v>3</v>
      </c>
      <c r="G57" s="12">
        <f>SUM(C57:F57)</f>
        <v/>
      </c>
      <c r="H57" s="21" t="inlineStr">
        <is>
          <t>Missing key simulation/validation components.</t>
        </is>
      </c>
    </row>
    <row r="58" ht="22" customHeight="1">
      <c r="A58" s="92" t="inlineStr">
        <is>
          <t>H088</t>
        </is>
      </c>
      <c r="B58" s="23" t="inlineStr">
        <is>
          <t>Student</t>
        </is>
      </c>
      <c r="C58" s="16" t="n">
        <v>3</v>
      </c>
      <c r="D58" s="16" t="n">
        <v>4</v>
      </c>
      <c r="E58" s="16" t="n">
        <v>1</v>
      </c>
      <c r="F58" s="16" t="n">
        <v>4</v>
      </c>
      <c r="G58" s="17">
        <f>SUM(C58:F58)</f>
        <v/>
      </c>
      <c r="H58" s="24" t="inlineStr">
        <is>
          <t>Missing key simulation/validation components.</t>
        </is>
      </c>
    </row>
    <row r="59" ht="15" customHeight="1">
      <c r="A59" s="46" t="inlineStr">
        <is>
          <t xml:space="preserve">  Group 13   |   Modeling Energy Loss in a Shock Absorber</t>
        </is>
      </c>
    </row>
    <row r="60" ht="22" customHeight="1">
      <c r="A60" s="102" t="inlineStr">
        <is>
          <t>H068</t>
        </is>
      </c>
      <c r="B60" s="10" t="inlineStr">
        <is>
          <t>Student</t>
        </is>
      </c>
      <c r="C60" s="11" t="n">
        <v>4</v>
      </c>
      <c r="D60" s="11" t="n">
        <v>3</v>
      </c>
      <c r="E60" s="11" t="n">
        <v>4</v>
      </c>
      <c r="F60" s="11" t="n">
        <v>3</v>
      </c>
      <c r="G60" s="12">
        <f>SUM(C60:F60)</f>
        <v/>
      </c>
      <c r="H60" s="13" t="inlineStr">
        <is>
          <t>Good effort, but room for refinement.</t>
        </is>
      </c>
    </row>
    <row r="61" ht="22" customHeight="1">
      <c r="A61" s="102" t="inlineStr">
        <is>
          <t>H071</t>
        </is>
      </c>
      <c r="B61" s="10" t="inlineStr">
        <is>
          <t>Student</t>
        </is>
      </c>
      <c r="C61" s="11" t="n">
        <v>4</v>
      </c>
      <c r="D61" s="11" t="n">
        <v>4</v>
      </c>
      <c r="E61" s="11" t="n">
        <v>3</v>
      </c>
      <c r="F61" s="11" t="n">
        <v>3</v>
      </c>
      <c r="G61" s="12">
        <f>SUM(C61:F61)</f>
        <v/>
      </c>
      <c r="H61" s="13" t="inlineStr">
        <is>
          <t>Good effort, but room for refinement.</t>
        </is>
      </c>
    </row>
    <row r="62" ht="22" customHeight="1">
      <c r="A62" s="102" t="inlineStr">
        <is>
          <t>H086</t>
        </is>
      </c>
      <c r="B62" s="10" t="inlineStr">
        <is>
          <t>Student</t>
        </is>
      </c>
      <c r="C62" s="11" t="n">
        <v>3</v>
      </c>
      <c r="D62" s="11" t="n">
        <v>3</v>
      </c>
      <c r="E62" s="11" t="n">
        <v>4</v>
      </c>
      <c r="F62" s="11" t="n">
        <v>4</v>
      </c>
      <c r="G62" s="12">
        <f>SUM(C62:F62)</f>
        <v/>
      </c>
      <c r="H62" s="13" t="inlineStr">
        <is>
          <t>Good effort, but room for refinement.</t>
        </is>
      </c>
    </row>
    <row r="63" ht="22" customHeight="1">
      <c r="A63" s="105" t="inlineStr">
        <is>
          <t>H097</t>
        </is>
      </c>
      <c r="B63" s="15" t="inlineStr">
        <is>
          <t>Student</t>
        </is>
      </c>
      <c r="C63" s="16" t="n">
        <v>3</v>
      </c>
      <c r="D63" s="16" t="n">
        <v>3</v>
      </c>
      <c r="E63" s="16" t="n">
        <v>3</v>
      </c>
      <c r="F63" s="16" t="n">
        <v>4</v>
      </c>
      <c r="G63" s="17">
        <f>SUM(C63:F63)</f>
        <v/>
      </c>
      <c r="H63" s="18" t="inlineStr">
        <is>
          <t>Good effort, but room for refinement.</t>
        </is>
      </c>
    </row>
    <row r="64" ht="15" customHeight="1">
      <c r="A64" s="46" t="inlineStr">
        <is>
          <t xml:space="preserve">  Group 14   |   Self-Balancing Robot with 2-DOF</t>
        </is>
      </c>
    </row>
    <row r="65" ht="22" customHeight="1">
      <c r="A65" s="82" t="inlineStr">
        <is>
          <t>H093</t>
        </is>
      </c>
      <c r="B65" s="20" t="inlineStr">
        <is>
          <t>Student</t>
        </is>
      </c>
      <c r="C65" s="11" t="n">
        <v>3</v>
      </c>
      <c r="D65" s="11" t="n">
        <v>4</v>
      </c>
      <c r="E65" s="11" t="n">
        <v>1</v>
      </c>
      <c r="F65" s="11" t="n">
        <v>4</v>
      </c>
      <c r="G65" s="12">
        <f>SUM(C65:F65)</f>
        <v/>
      </c>
      <c r="H65" s="21" t="inlineStr">
        <is>
          <t>Missing key simulation/validation components.</t>
        </is>
      </c>
    </row>
    <row r="66" ht="22" customHeight="1">
      <c r="A66" s="92" t="inlineStr">
        <is>
          <t>H095</t>
        </is>
      </c>
      <c r="B66" s="23" t="inlineStr">
        <is>
          <t>Student</t>
        </is>
      </c>
      <c r="C66" s="16" t="n">
        <v>4</v>
      </c>
      <c r="D66" s="16" t="n">
        <v>4</v>
      </c>
      <c r="E66" s="16" t="n">
        <v>1</v>
      </c>
      <c r="F66" s="16" t="n">
        <v>3</v>
      </c>
      <c r="G66" s="17">
        <f>SUM(C66:F66)</f>
        <v/>
      </c>
      <c r="H66" s="24" t="inlineStr">
        <is>
          <t>Missing key simulation/validation components.</t>
        </is>
      </c>
    </row>
    <row r="67" ht="15" customHeight="1">
      <c r="A67" s="46" t="inlineStr">
        <is>
          <t xml:space="preserve">  Group 15   |   Automated EoT (Electric Overhead Travel) Crane</t>
        </is>
      </c>
    </row>
    <row r="68" ht="22" customHeight="1">
      <c r="A68" s="102" t="inlineStr">
        <is>
          <t>H066</t>
        </is>
      </c>
      <c r="B68" s="10" t="inlineStr">
        <is>
          <t>Student</t>
        </is>
      </c>
      <c r="C68" s="11" t="n">
        <v>4</v>
      </c>
      <c r="D68" s="11" t="n">
        <v>3</v>
      </c>
      <c r="E68" s="11" t="n">
        <v>3</v>
      </c>
      <c r="F68" s="11" t="n">
        <v>4</v>
      </c>
      <c r="G68" s="12">
        <f>SUM(C68:F68)</f>
        <v/>
      </c>
      <c r="H68" s="13" t="inlineStr">
        <is>
          <t>Good effort, but room for refinement.</t>
        </is>
      </c>
    </row>
    <row r="69" ht="22" customHeight="1">
      <c r="A69" s="102" t="inlineStr">
        <is>
          <t>H067</t>
        </is>
      </c>
      <c r="B69" s="10" t="inlineStr">
        <is>
          <t>Student</t>
        </is>
      </c>
      <c r="C69" s="11" t="n">
        <v>4</v>
      </c>
      <c r="D69" s="11" t="n">
        <v>4</v>
      </c>
      <c r="E69" s="11" t="n">
        <v>4</v>
      </c>
      <c r="F69" s="11" t="n">
        <v>4</v>
      </c>
      <c r="G69" s="12">
        <f>SUM(C69:F69)</f>
        <v/>
      </c>
      <c r="H69" s="13" t="inlineStr">
        <is>
          <t>Excellent work! Clear and well-presented.</t>
        </is>
      </c>
    </row>
    <row r="70" ht="22" customHeight="1">
      <c r="A70" s="102" t="inlineStr">
        <is>
          <t>H090</t>
        </is>
      </c>
      <c r="B70" s="10" t="inlineStr">
        <is>
          <t>Student</t>
        </is>
      </c>
      <c r="C70" s="11" t="n">
        <v>3</v>
      </c>
      <c r="D70" s="11" t="n">
        <v>4</v>
      </c>
      <c r="E70" s="11" t="n">
        <v>4</v>
      </c>
      <c r="F70" s="11" t="n">
        <v>4</v>
      </c>
      <c r="G70" s="12">
        <f>SUM(C70:F70)</f>
        <v/>
      </c>
      <c r="H70" s="13" t="inlineStr">
        <is>
          <t>Good effort, but room for refinement.</t>
        </is>
      </c>
    </row>
    <row r="71" ht="22" customHeight="1">
      <c r="A71" s="105" t="inlineStr">
        <is>
          <t>H094</t>
        </is>
      </c>
      <c r="B71" s="15" t="inlineStr">
        <is>
          <t>Student</t>
        </is>
      </c>
      <c r="C71" s="16" t="n">
        <v>3</v>
      </c>
      <c r="D71" s="16" t="n">
        <v>3</v>
      </c>
      <c r="E71" s="16" t="n">
        <v>4</v>
      </c>
      <c r="F71" s="16" t="n">
        <v>4</v>
      </c>
      <c r="G71" s="17">
        <f>SUM(C71:F71)</f>
        <v/>
      </c>
      <c r="H71" s="18" t="inlineStr">
        <is>
          <t>Good effort, but room for refinement.</t>
        </is>
      </c>
    </row>
    <row r="72" ht="15" customHeight="1">
      <c r="A72" s="46" t="inlineStr">
        <is>
          <t xml:space="preserve">  Group 16   |   Mathematical Operation of Pick-and-Place Autonomous Rover</t>
        </is>
      </c>
    </row>
    <row r="73" ht="22" customHeight="1">
      <c r="A73" s="82" t="inlineStr">
        <is>
          <t>H034</t>
        </is>
      </c>
      <c r="B73" s="20" t="inlineStr">
        <is>
          <t>Student</t>
        </is>
      </c>
      <c r="C73" s="11" t="n">
        <v>3</v>
      </c>
      <c r="D73" s="11" t="n">
        <v>3</v>
      </c>
      <c r="E73" s="11" t="n">
        <v>3</v>
      </c>
      <c r="F73" s="11" t="n">
        <v>4</v>
      </c>
      <c r="G73" s="12">
        <f>SUM(C73:F73)</f>
        <v/>
      </c>
      <c r="H73" s="21" t="inlineStr">
        <is>
          <t>Good effort, but room for refinement.</t>
        </is>
      </c>
    </row>
    <row r="74" ht="22" customHeight="1">
      <c r="A74" s="82" t="inlineStr">
        <is>
          <t>H041</t>
        </is>
      </c>
      <c r="B74" s="20" t="inlineStr">
        <is>
          <t>Student</t>
        </is>
      </c>
      <c r="C74" s="11" t="n">
        <v>3</v>
      </c>
      <c r="D74" s="11" t="n">
        <v>4</v>
      </c>
      <c r="E74" s="11" t="n">
        <v>3</v>
      </c>
      <c r="F74" s="11" t="n">
        <v>4</v>
      </c>
      <c r="G74" s="12">
        <f>SUM(C74:F74)</f>
        <v/>
      </c>
      <c r="H74" s="21" t="inlineStr">
        <is>
          <t>Good effort, but room for refinement.</t>
        </is>
      </c>
    </row>
    <row r="75" ht="22" customHeight="1">
      <c r="A75" s="92" t="inlineStr">
        <is>
          <t>H056</t>
        </is>
      </c>
      <c r="B75" s="23" t="inlineStr">
        <is>
          <t>Student</t>
        </is>
      </c>
      <c r="C75" s="16" t="n">
        <v>4</v>
      </c>
      <c r="D75" s="16" t="n">
        <v>3</v>
      </c>
      <c r="E75" s="16" t="n">
        <v>4</v>
      </c>
      <c r="F75" s="16" t="n">
        <v>4</v>
      </c>
      <c r="G75" s="17">
        <f>SUM(C75:F75)</f>
        <v/>
      </c>
      <c r="H75" s="24" t="inlineStr">
        <is>
          <t>Good effort, but room for refinement.</t>
        </is>
      </c>
    </row>
    <row r="76" ht="15" customHeight="1">
      <c r="A76" s="46" t="inlineStr">
        <is>
          <t xml:space="preserve">  Group 17   |   Mathematical Modeling of Loading Effects on a Conveyor</t>
        </is>
      </c>
    </row>
    <row r="77" ht="22" customHeight="1">
      <c r="A77" s="102" t="inlineStr">
        <is>
          <t>H074</t>
        </is>
      </c>
      <c r="B77" s="10" t="inlineStr">
        <is>
          <t>Student</t>
        </is>
      </c>
      <c r="C77" s="11" t="n">
        <v>3</v>
      </c>
      <c r="D77" s="11" t="n">
        <v>4</v>
      </c>
      <c r="E77" s="11" t="n">
        <v>4</v>
      </c>
      <c r="F77" s="11" t="n">
        <v>4</v>
      </c>
      <c r="G77" s="12">
        <f>SUM(C77:F77)</f>
        <v/>
      </c>
      <c r="H77" s="13" t="inlineStr">
        <is>
          <t>Good effort, but room for refinement.</t>
        </is>
      </c>
    </row>
    <row r="78" ht="22" customHeight="1">
      <c r="A78" s="105" t="inlineStr">
        <is>
          <t>H075</t>
        </is>
      </c>
      <c r="B78" s="15" t="inlineStr">
        <is>
          <t>Student</t>
        </is>
      </c>
      <c r="C78" s="16" t="n">
        <v>4</v>
      </c>
      <c r="D78" s="16" t="n">
        <v>3</v>
      </c>
      <c r="E78" s="16" t="n">
        <v>4</v>
      </c>
      <c r="F78" s="16" t="n">
        <v>4</v>
      </c>
      <c r="G78" s="17">
        <f>SUM(C78:F78)</f>
        <v/>
      </c>
      <c r="H78" s="18" t="inlineStr">
        <is>
          <t>Good effort, but room for refinement.</t>
        </is>
      </c>
    </row>
    <row r="79" ht="40" customHeight="1">
      <c r="A79" s="47" t="inlineStr">
        <is>
          <t>GRADING SCALE (each criterion, out of 4):   4 = Excellent  |  3 = Good  |  2 = Satisfactory  |  1 = Needs Improvement  |  0 = Not demonstrated
  C1, C2, C3  [GROUP]: enter the SAME mark for all students in the group.     C4  [INDIVIDUAL]: evaluate each student SEPARATELY.</t>
        </is>
      </c>
    </row>
    <row r="80" ht="50" customHeight="1">
      <c r="A80" s="48" t="inlineStr">
        <is>
          <t>CRITERIA DETAIL:   C1 — Derivation Correctness  [GROUP]:  Newton / Lagrangian / state-space derivation is mathematically sound.  |  C2 — Equation Formulation  [GROUP]:  ODEs, transfer functions, and state-space matrices are correctly formulated.  |  C3 — Simulation Validation  [GROUP]:  Energy checks, parameter studies, or physical-limit verification performed.  |  C4 — Individual Mathematical Grasp  [INDIVIDUAL]:  This student explains derivation steps and answers mathematical Q&amp;A correctly.</t>
        </is>
      </c>
    </row>
    <row r="81" ht="28" customHeight="1">
      <c r="A81" s="27" t="inlineStr">
        <is>
          <t>Evaluator Signature:   Dr. / Ms. Nitu Gupta</t>
        </is>
      </c>
      <c r="B81" s="111" t="n"/>
      <c r="C81" s="28" t="inlineStr">
        <is>
          <t>Date:   25 / 04 / 2026</t>
        </is>
      </c>
      <c r="D81" s="111" t="n"/>
      <c r="E81" s="28" t="inlineStr">
        <is>
          <t>Coordinated by:   Prof. Sunny Nanade  (Course Instructor, NMIMS)</t>
        </is>
      </c>
      <c r="F81" s="112" t="n"/>
      <c r="G81" s="112" t="n"/>
      <c r="H81" s="111" t="n"/>
    </row>
  </sheetData>
  <mergeCells count="28">
    <mergeCell ref="A67:H67"/>
    <mergeCell ref="A59:H59"/>
    <mergeCell ref="A64:H64"/>
    <mergeCell ref="A1:H1"/>
    <mergeCell ref="E81:H81"/>
    <mergeCell ref="A79:H79"/>
    <mergeCell ref="A6:H6"/>
    <mergeCell ref="A80:H80"/>
    <mergeCell ref="A12:H12"/>
    <mergeCell ref="A3:H3"/>
    <mergeCell ref="A21:H21"/>
    <mergeCell ref="A26:H26"/>
    <mergeCell ref="A55:H55"/>
    <mergeCell ref="A2:H2"/>
    <mergeCell ref="A42:H42"/>
    <mergeCell ref="A76:H76"/>
    <mergeCell ref="A47:H47"/>
    <mergeCell ref="A5:H5"/>
    <mergeCell ref="A8:H8"/>
    <mergeCell ref="A17:H17"/>
    <mergeCell ref="A4:H4"/>
    <mergeCell ref="A81:B81"/>
    <mergeCell ref="A38:H38"/>
    <mergeCell ref="C81:D81"/>
    <mergeCell ref="A72:H72"/>
    <mergeCell ref="A52:H52"/>
    <mergeCell ref="A31:H31"/>
    <mergeCell ref="A34:H34"/>
  </mergeCells>
  <pageMargins left="0.4" right="0.4" top="0.5" bottom="0.5" header="0.3" footer="0.3"/>
  <pageSetup orientation="landscape" paperSize="9" fitToHeight="0" fitToWidth="1"/>
  <headerFooter>
    <oddHeader>&amp;CMini Project Exhibition 2026  |  Dr. / Ms. Nitu Gupta  |  25 April 2026  |  /16 marks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6914"/>
    <outlinePr summaryBelow="1" summaryRight="1"/>
    <pageSetUpPr fitToPage="1"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35" customWidth="1" min="8" max="8"/>
  </cols>
  <sheetData>
    <row r="1" ht="20" customHeight="1">
      <c r="A1" s="49" t="inlineStr">
        <is>
          <t>MINI PROJECT EXHIBITION 2026  |  Dynamic System Modeling (702MH0C023)  |  B.Tech Mechatronics Engineering, Semester IV, AY 2025-26  |  NMIMS MPSTME</t>
        </is>
      </c>
    </row>
    <row r="2" ht="30" customHeight="1">
      <c r="A2" s="50" t="inlineStr">
        <is>
          <t>EVALUATOR:   Mr. Mahendra Kane          ROLE:   Industrial Automation &amp; Industry 4.0 Expert  (Siemens Ltd)</t>
        </is>
      </c>
    </row>
    <row r="3" ht="24" customHeight="1">
      <c r="A3" s="51" t="inlineStr">
        <is>
          <t>Session:  MORNING SESSION  |  09:00 AM to 01:00 PM     Date:  25 April 2026 (Saturday)     Venue:  AR/VR Lab, MPSTME, NMIMS</t>
        </is>
      </c>
    </row>
    <row r="4" ht="20" customHeight="1">
      <c r="A4" s="52" t="inlineStr">
        <is>
          <t>ASSESSMENT FOCUS:   Industrial automation relevance, control system integration potential, and Digital Twin / Industry 4.0 readiness of the mathematical model and simulation.</t>
        </is>
      </c>
    </row>
    <row r="5" ht="18" customHeight="1">
      <c r="A5" s="53" t="inlineStr">
        <is>
          <t>SF-PBL: Assess whether the simulation-based model can bridge into real PLC / SCADA / motion-control scenarios and contribute to an Industry 4.0 digital strategy.</t>
        </is>
      </c>
    </row>
    <row r="6" ht="22" customHeight="1">
      <c r="A6" s="54" t="inlineStr">
        <is>
          <t>CRITERIA KEY:   C1: Industrial System Relevance  |  C2: Control &amp; Actuation Alignment  |  C3: Digital Twin / Industry 4.0 Potential  |  C4: Individual Automation Q&amp;A</t>
        </is>
      </c>
    </row>
    <row r="7" ht="34" customHeight="1">
      <c r="A7" s="55" t="inlineStr">
        <is>
          <t>Roll No.</t>
        </is>
      </c>
      <c r="B7" s="55" t="inlineStr">
        <is>
          <t>Student Name</t>
        </is>
      </c>
      <c r="C7" s="55" t="inlineStr">
        <is>
          <t>C1
/5</t>
        </is>
      </c>
      <c r="D7" s="55" t="inlineStr">
        <is>
          <t>C2
/5</t>
        </is>
      </c>
      <c r="E7" s="55" t="inlineStr">
        <is>
          <t>C3
/5</t>
        </is>
      </c>
      <c r="F7" s="55" t="inlineStr">
        <is>
          <t>C4
/5</t>
        </is>
      </c>
      <c r="G7" s="55" t="inlineStr">
        <is>
          <t>Total
/20</t>
        </is>
      </c>
      <c r="H7" s="55" t="inlineStr">
        <is>
          <t>Comments / Feedback</t>
        </is>
      </c>
    </row>
    <row r="8" ht="15" customHeight="1">
      <c r="A8" s="56" t="inlineStr">
        <is>
          <t xml:space="preserve">  Group 1   |   Mathematical Modeling and Dynamic Analysis of a Multi-Terrain Four-Wheeled Robot</t>
        </is>
      </c>
    </row>
    <row r="9" ht="22" customHeight="1">
      <c r="A9" s="102" t="inlineStr">
        <is>
          <t>H079</t>
        </is>
      </c>
      <c r="B9" s="10" t="inlineStr">
        <is>
          <t>Student</t>
        </is>
      </c>
      <c r="C9" s="11" t="n">
        <v>5</v>
      </c>
      <c r="D9" s="11" t="n">
        <v>4</v>
      </c>
      <c r="E9" s="11" t="n">
        <v>2</v>
      </c>
      <c r="F9" s="11" t="n">
        <v>5</v>
      </c>
      <c r="G9" s="12">
        <f>SUM(C9:F9)</f>
        <v/>
      </c>
      <c r="H9" s="13" t="inlineStr">
        <is>
          <t>Missing key simulation/validation components.</t>
        </is>
      </c>
    </row>
    <row r="10" ht="22" customHeight="1">
      <c r="A10" s="102" t="inlineStr">
        <is>
          <t>H082</t>
        </is>
      </c>
      <c r="B10" s="10" t="inlineStr">
        <is>
          <t>Student</t>
        </is>
      </c>
      <c r="C10" s="11" t="n">
        <v>4</v>
      </c>
      <c r="D10" s="11" t="n">
        <v>5</v>
      </c>
      <c r="E10" s="11" t="n">
        <v>2</v>
      </c>
      <c r="F10" s="11" t="n">
        <v>4</v>
      </c>
      <c r="G10" s="12">
        <f>SUM(C10:F10)</f>
        <v/>
      </c>
      <c r="H10" s="13" t="inlineStr">
        <is>
          <t>Missing key simulation/validation components.</t>
        </is>
      </c>
    </row>
    <row r="11" ht="22" customHeight="1">
      <c r="A11" s="105" t="inlineStr">
        <is>
          <t>H084</t>
        </is>
      </c>
      <c r="B11" s="15" t="inlineStr">
        <is>
          <t>Student</t>
        </is>
      </c>
      <c r="C11" s="16" t="n">
        <v>4</v>
      </c>
      <c r="D11" s="16" t="n">
        <v>5</v>
      </c>
      <c r="E11" s="16" t="n">
        <v>2</v>
      </c>
      <c r="F11" s="16" t="n">
        <v>4</v>
      </c>
      <c r="G11" s="17">
        <f>SUM(C11:F11)</f>
        <v/>
      </c>
      <c r="H11" s="18" t="inlineStr">
        <is>
          <t>Missing key simulation/validation components.</t>
        </is>
      </c>
    </row>
    <row r="12" ht="15" customHeight="1">
      <c r="A12" s="56" t="inlineStr">
        <is>
          <t xml:space="preserve">  Group 2   |   Modeling Rocket Landing - Docking</t>
        </is>
      </c>
    </row>
    <row r="13" ht="22" customHeight="1">
      <c r="A13" s="82" t="inlineStr">
        <is>
          <t>H004</t>
        </is>
      </c>
      <c r="B13" s="20" t="inlineStr">
        <is>
          <t>Student</t>
        </is>
      </c>
      <c r="C13" s="11" t="n">
        <v>4</v>
      </c>
      <c r="D13" s="11" t="n">
        <v>5</v>
      </c>
      <c r="E13" s="11" t="n">
        <v>5</v>
      </c>
      <c r="F13" s="11" t="n">
        <v>4</v>
      </c>
      <c r="G13" s="12">
        <f>SUM(C13:F13)</f>
        <v/>
      </c>
      <c r="H13" s="21" t="inlineStr">
        <is>
          <t>Good effort, but room for refinement.</t>
        </is>
      </c>
    </row>
    <row r="14" ht="22" customHeight="1">
      <c r="A14" s="82" t="inlineStr">
        <is>
          <t>H005</t>
        </is>
      </c>
      <c r="B14" s="20" t="inlineStr">
        <is>
          <t>Student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2">
        <f>SUM(C14:F14)</f>
        <v/>
      </c>
      <c r="H14" s="21" t="inlineStr">
        <is>
          <t>Absent throughout.</t>
        </is>
      </c>
    </row>
    <row r="15" ht="22" customHeight="1">
      <c r="A15" s="82" t="inlineStr">
        <is>
          <t>H028</t>
        </is>
      </c>
      <c r="B15" s="20" t="inlineStr">
        <is>
          <t>Student</t>
        </is>
      </c>
      <c r="C15" s="11" t="n">
        <v>4</v>
      </c>
      <c r="D15" s="11" t="n">
        <v>4</v>
      </c>
      <c r="E15" s="11" t="n">
        <v>5</v>
      </c>
      <c r="F15" s="11" t="n">
        <v>5</v>
      </c>
      <c r="G15" s="12">
        <f>SUM(C15:F15)</f>
        <v/>
      </c>
      <c r="H15" s="21" t="inlineStr">
        <is>
          <t>Good effort, but room for refinement.</t>
        </is>
      </c>
    </row>
    <row r="16" ht="22" customHeight="1">
      <c r="A16" s="92" t="inlineStr">
        <is>
          <t>H031</t>
        </is>
      </c>
      <c r="B16" s="23" t="inlineStr">
        <is>
          <t>Student</t>
        </is>
      </c>
      <c r="C16" s="16" t="n">
        <v>4</v>
      </c>
      <c r="D16" s="16" t="n">
        <v>5</v>
      </c>
      <c r="E16" s="16" t="n">
        <v>4</v>
      </c>
      <c r="F16" s="16" t="n">
        <v>5</v>
      </c>
      <c r="G16" s="17">
        <f>SUM(C16:F16)</f>
        <v/>
      </c>
      <c r="H16" s="24" t="inlineStr">
        <is>
          <t>Good effort, but room for refinement.</t>
        </is>
      </c>
    </row>
    <row r="17" ht="15" customHeight="1">
      <c r="A17" s="56" t="inlineStr">
        <is>
          <t xml:space="preserve">  Group 3   |   Dynamic Modeling and Stability Analysis of 2-DOF Leg Mechanism for Quadruped Robot</t>
        </is>
      </c>
    </row>
    <row r="18" ht="22" customHeight="1">
      <c r="A18" s="102" t="inlineStr">
        <is>
          <t>H009</t>
        </is>
      </c>
      <c r="B18" s="10" t="inlineStr">
        <is>
          <t>Student</t>
        </is>
      </c>
      <c r="C18" s="11" t="n">
        <v>4</v>
      </c>
      <c r="D18" s="11" t="n">
        <v>5</v>
      </c>
      <c r="E18" s="11" t="n">
        <v>5</v>
      </c>
      <c r="F18" s="11" t="n">
        <v>5</v>
      </c>
      <c r="G18" s="12">
        <f>SUM(C18:F18)</f>
        <v/>
      </c>
      <c r="H18" s="13" t="inlineStr">
        <is>
          <t>Good effort, but room for refinement.</t>
        </is>
      </c>
    </row>
    <row r="19" ht="22" customHeight="1">
      <c r="A19" s="102" t="inlineStr">
        <is>
          <t>H012</t>
        </is>
      </c>
      <c r="B19" s="10" t="inlineStr">
        <is>
          <t>Student</t>
        </is>
      </c>
      <c r="C19" s="11" t="n">
        <v>5</v>
      </c>
      <c r="D19" s="11" t="n">
        <v>4</v>
      </c>
      <c r="E19" s="11" t="n">
        <v>5</v>
      </c>
      <c r="F19" s="11" t="n">
        <v>5</v>
      </c>
      <c r="G19" s="12">
        <f>SUM(C19:F19)</f>
        <v/>
      </c>
      <c r="H19" s="13" t="inlineStr">
        <is>
          <t>Good effort, but room for refinement.</t>
        </is>
      </c>
    </row>
    <row r="20" ht="22" customHeight="1">
      <c r="A20" s="105" t="inlineStr">
        <is>
          <t>H033</t>
        </is>
      </c>
      <c r="B20" s="15" t="inlineStr">
        <is>
          <t>Student</t>
        </is>
      </c>
      <c r="C20" s="16" t="n">
        <v>4</v>
      </c>
      <c r="D20" s="16" t="n">
        <v>4</v>
      </c>
      <c r="E20" s="16" t="n">
        <v>5</v>
      </c>
      <c r="F20" s="16" t="n">
        <v>5</v>
      </c>
      <c r="G20" s="17">
        <f>SUM(C20:F20)</f>
        <v/>
      </c>
      <c r="H20" s="18" t="inlineStr">
        <is>
          <t>Good effort, but room for refinement.</t>
        </is>
      </c>
    </row>
    <row r="21" ht="15" customHeight="1">
      <c r="A21" s="56" t="inlineStr">
        <is>
          <t xml:space="preserve">  Group 4   |   Critical Skid Velocity Mathematical Modeling</t>
        </is>
      </c>
    </row>
    <row r="22" ht="22" customHeight="1">
      <c r="A22" s="82" t="inlineStr">
        <is>
          <t>H014</t>
        </is>
      </c>
      <c r="B22" s="20" t="inlineStr">
        <is>
          <t>Student</t>
        </is>
      </c>
      <c r="C22" s="11" t="n">
        <v>5</v>
      </c>
      <c r="D22" s="11" t="n">
        <v>2</v>
      </c>
      <c r="E22" s="11" t="n">
        <v>2</v>
      </c>
      <c r="F22" s="11" t="n">
        <v>4</v>
      </c>
      <c r="G22" s="12">
        <f>SUM(C22:F22)</f>
        <v/>
      </c>
      <c r="H22" s="21" t="inlineStr">
        <is>
          <t>Missing key simulation/validation components.</t>
        </is>
      </c>
    </row>
    <row r="23" ht="22" customHeight="1">
      <c r="A23" s="82" t="inlineStr">
        <is>
          <t>H015</t>
        </is>
      </c>
      <c r="B23" s="20" t="inlineStr">
        <is>
          <t>Student</t>
        </is>
      </c>
      <c r="C23" s="11" t="n">
        <v>5</v>
      </c>
      <c r="D23" s="11" t="n">
        <v>2</v>
      </c>
      <c r="E23" s="11" t="n">
        <v>2</v>
      </c>
      <c r="F23" s="11" t="n">
        <v>4</v>
      </c>
      <c r="G23" s="12">
        <f>SUM(C23:F23)</f>
        <v/>
      </c>
      <c r="H23" s="21" t="inlineStr">
        <is>
          <t>Missing key simulation/validation components.</t>
        </is>
      </c>
    </row>
    <row r="24" ht="22" customHeight="1">
      <c r="A24" s="82" t="inlineStr">
        <is>
          <t>H016</t>
        </is>
      </c>
      <c r="B24" s="20" t="inlineStr">
        <is>
          <t>Student</t>
        </is>
      </c>
      <c r="C24" s="11" t="n">
        <v>4</v>
      </c>
      <c r="D24" s="11" t="n">
        <v>2</v>
      </c>
      <c r="E24" s="11" t="n">
        <v>2</v>
      </c>
      <c r="F24" s="11" t="n">
        <v>4</v>
      </c>
      <c r="G24" s="12">
        <f>SUM(C24:F24)</f>
        <v/>
      </c>
      <c r="H24" s="21" t="inlineStr">
        <is>
          <t>Missing key simulation/validation components.</t>
        </is>
      </c>
    </row>
    <row r="25" ht="22" customHeight="1">
      <c r="A25" s="92" t="inlineStr">
        <is>
          <t>H025</t>
        </is>
      </c>
      <c r="B25" s="23" t="inlineStr">
        <is>
          <t>Student</t>
        </is>
      </c>
      <c r="C25" s="16" t="n">
        <v>4</v>
      </c>
      <c r="D25" s="16" t="n">
        <v>2</v>
      </c>
      <c r="E25" s="16" t="n">
        <v>2</v>
      </c>
      <c r="F25" s="16" t="n">
        <v>5</v>
      </c>
      <c r="G25" s="17">
        <f>SUM(C25:F25)</f>
        <v/>
      </c>
      <c r="H25" s="24" t="inlineStr">
        <is>
          <t>Missing key simulation/validation components.</t>
        </is>
      </c>
    </row>
    <row r="26" ht="15" customHeight="1">
      <c r="A26" s="56" t="inlineStr">
        <is>
          <t xml:space="preserve">  Group 5   |   Humanoid Robot - Dynamic Modeling</t>
        </is>
      </c>
    </row>
    <row r="27" ht="22" customHeight="1">
      <c r="A27" s="102" t="inlineStr">
        <is>
          <t>H003</t>
        </is>
      </c>
      <c r="B27" s="10" t="inlineStr">
        <is>
          <t>Student</t>
        </is>
      </c>
      <c r="C27" s="11" t="n">
        <v>4</v>
      </c>
      <c r="D27" s="11" t="n">
        <v>5</v>
      </c>
      <c r="E27" s="11" t="n">
        <v>5</v>
      </c>
      <c r="F27" s="11" t="n">
        <v>5</v>
      </c>
      <c r="G27" s="12">
        <f>SUM(C27:F27)</f>
        <v/>
      </c>
      <c r="H27" s="13" t="inlineStr">
        <is>
          <t>Good effort, but room for refinement.</t>
        </is>
      </c>
    </row>
    <row r="28" ht="22" customHeight="1">
      <c r="A28" s="102" t="inlineStr">
        <is>
          <t>H006</t>
        </is>
      </c>
      <c r="B28" s="10" t="inlineStr">
        <is>
          <t>Student</t>
        </is>
      </c>
      <c r="C28" s="11" t="n">
        <v>4</v>
      </c>
      <c r="D28" s="11" t="n">
        <v>5</v>
      </c>
      <c r="E28" s="11" t="n">
        <v>4</v>
      </c>
      <c r="F28" s="11" t="n">
        <v>4</v>
      </c>
      <c r="G28" s="12">
        <f>SUM(C28:F28)</f>
        <v/>
      </c>
      <c r="H28" s="13" t="inlineStr">
        <is>
          <t>Good effort, but room for refinement.</t>
        </is>
      </c>
    </row>
    <row r="29" ht="22" customHeight="1">
      <c r="A29" s="102" t="inlineStr">
        <is>
          <t>H024</t>
        </is>
      </c>
      <c r="B29" s="10" t="inlineStr">
        <is>
          <t>Student</t>
        </is>
      </c>
      <c r="C29" s="11" t="n">
        <v>5</v>
      </c>
      <c r="D29" s="11" t="n">
        <v>5</v>
      </c>
      <c r="E29" s="11" t="n">
        <v>4</v>
      </c>
      <c r="F29" s="11" t="n">
        <v>5</v>
      </c>
      <c r="G29" s="12">
        <f>SUM(C29:F29)</f>
        <v/>
      </c>
      <c r="H29" s="13" t="inlineStr">
        <is>
          <t>Good effort, but room for refinement.</t>
        </is>
      </c>
    </row>
    <row r="30" ht="22" customHeight="1">
      <c r="A30" s="105" t="inlineStr">
        <is>
          <t>H029</t>
        </is>
      </c>
      <c r="B30" s="15" t="inlineStr">
        <is>
          <t>Student</t>
        </is>
      </c>
      <c r="C30" s="16" t="n">
        <v>5</v>
      </c>
      <c r="D30" s="16" t="n">
        <v>5</v>
      </c>
      <c r="E30" s="16" t="n">
        <v>5</v>
      </c>
      <c r="F30" s="16" t="n">
        <v>5</v>
      </c>
      <c r="G30" s="17">
        <f>SUM(C30:F30)</f>
        <v/>
      </c>
      <c r="H30" s="18" t="inlineStr">
        <is>
          <t>Excellent work! Clear and well-presented.</t>
        </is>
      </c>
    </row>
    <row r="31" ht="15" customHeight="1">
      <c r="A31" s="56" t="inlineStr">
        <is>
          <t xml:space="preserve">  Group 6   |   Dynamic Modeling of Hydrogen Fuel Cell-Battery Hybrid Powertrain for Electric UAV</t>
        </is>
      </c>
    </row>
    <row r="32" ht="22" customHeight="1">
      <c r="A32" s="82" t="inlineStr">
        <is>
          <t>H001</t>
        </is>
      </c>
      <c r="B32" s="20" t="inlineStr">
        <is>
          <t>Student</t>
        </is>
      </c>
      <c r="C32" s="11" t="n">
        <v>4</v>
      </c>
      <c r="D32" s="11" t="n">
        <v>2</v>
      </c>
      <c r="E32" s="11" t="n">
        <v>2</v>
      </c>
      <c r="F32" s="11" t="n">
        <v>5</v>
      </c>
      <c r="G32" s="12">
        <f>SUM(C32:F32)</f>
        <v/>
      </c>
      <c r="H32" s="21" t="inlineStr">
        <is>
          <t>Missing key simulation/validation components.</t>
        </is>
      </c>
    </row>
    <row r="33" ht="22" customHeight="1">
      <c r="A33" s="92" t="inlineStr">
        <is>
          <t>H002</t>
        </is>
      </c>
      <c r="B33" s="23" t="inlineStr">
        <is>
          <t>Student</t>
        </is>
      </c>
      <c r="C33" s="16" t="n">
        <v>4</v>
      </c>
      <c r="D33" s="16" t="n">
        <v>2</v>
      </c>
      <c r="E33" s="16" t="n">
        <v>2</v>
      </c>
      <c r="F33" s="16" t="n">
        <v>5</v>
      </c>
      <c r="G33" s="17">
        <f>SUM(C33:F33)</f>
        <v/>
      </c>
      <c r="H33" s="24" t="inlineStr">
        <is>
          <t>Missing key simulation/validation components.</t>
        </is>
      </c>
    </row>
    <row r="34" ht="15" customHeight="1">
      <c r="A34" s="56" t="inlineStr">
        <is>
          <t xml:space="preserve">  Group 7   |   Hexapod Robot - Mathematical Modeling</t>
        </is>
      </c>
    </row>
    <row r="35" ht="22" customHeight="1">
      <c r="A35" s="102" t="inlineStr">
        <is>
          <t>H021</t>
        </is>
      </c>
      <c r="B35" s="10" t="inlineStr">
        <is>
          <t>Student</t>
        </is>
      </c>
      <c r="C35" s="11" t="n">
        <v>5</v>
      </c>
      <c r="D35" s="11" t="n">
        <v>5</v>
      </c>
      <c r="E35" s="11" t="n">
        <v>5</v>
      </c>
      <c r="F35" s="11" t="n">
        <v>5</v>
      </c>
      <c r="G35" s="12">
        <f>SUM(C35:F35)</f>
        <v/>
      </c>
      <c r="H35" s="13" t="inlineStr">
        <is>
          <t>Excellent work! Clear and well-presented.</t>
        </is>
      </c>
    </row>
    <row r="36" ht="22" customHeight="1">
      <c r="A36" s="102" t="inlineStr">
        <is>
          <t>H022</t>
        </is>
      </c>
      <c r="B36" s="10" t="inlineStr">
        <is>
          <t>Student</t>
        </is>
      </c>
      <c r="C36" s="11" t="n">
        <v>4</v>
      </c>
      <c r="D36" s="11" t="n">
        <v>4</v>
      </c>
      <c r="E36" s="11" t="n">
        <v>4</v>
      </c>
      <c r="F36" s="11" t="n">
        <v>4</v>
      </c>
      <c r="G36" s="12">
        <f>SUM(C36:F36)</f>
        <v/>
      </c>
      <c r="H36" s="13" t="inlineStr">
        <is>
          <t>Good effort, but room for refinement.</t>
        </is>
      </c>
    </row>
    <row r="37" ht="22" customHeight="1">
      <c r="A37" s="105" t="inlineStr">
        <is>
          <t>H023</t>
        </is>
      </c>
      <c r="B37" s="15" t="inlineStr">
        <is>
          <t>Student</t>
        </is>
      </c>
      <c r="C37" s="16" t="n">
        <v>5</v>
      </c>
      <c r="D37" s="16" t="n">
        <v>5</v>
      </c>
      <c r="E37" s="16" t="n">
        <v>5</v>
      </c>
      <c r="F37" s="16" t="n">
        <v>5</v>
      </c>
      <c r="G37" s="17">
        <f>SUM(C37:F37)</f>
        <v/>
      </c>
      <c r="H37" s="18" t="inlineStr">
        <is>
          <t>Excellent work! Clear and well-presented.</t>
        </is>
      </c>
    </row>
    <row r="38" ht="15" customHeight="1">
      <c r="A38" s="56" t="inlineStr">
        <is>
          <t xml:space="preserve">  Group 8   |   Mathematical Modeling and Dynamics of Ball Balancing Robot using 6-DOF Stewart Mechanism</t>
        </is>
      </c>
    </row>
    <row r="39" ht="22" customHeight="1">
      <c r="A39" s="82" t="inlineStr">
        <is>
          <t>H059</t>
        </is>
      </c>
      <c r="B39" s="20" t="inlineStr">
        <is>
          <t>Student</t>
        </is>
      </c>
      <c r="C39" s="11" t="n">
        <v>5</v>
      </c>
      <c r="D39" s="11" t="n">
        <v>4</v>
      </c>
      <c r="E39" s="11" t="n">
        <v>5</v>
      </c>
      <c r="F39" s="11" t="n">
        <v>4</v>
      </c>
      <c r="G39" s="12">
        <f>SUM(C39:F39)</f>
        <v/>
      </c>
      <c r="H39" s="21" t="inlineStr">
        <is>
          <t>Good effort, but room for refinement.</t>
        </is>
      </c>
    </row>
    <row r="40" ht="22" customHeight="1">
      <c r="A40" s="82" t="inlineStr">
        <is>
          <t>H060</t>
        </is>
      </c>
      <c r="B40" s="20" t="inlineStr">
        <is>
          <t>Student</t>
        </is>
      </c>
      <c r="C40" s="11" t="n">
        <v>5</v>
      </c>
      <c r="D40" s="11" t="n">
        <v>4</v>
      </c>
      <c r="E40" s="11" t="n">
        <v>5</v>
      </c>
      <c r="F40" s="11" t="n">
        <v>5</v>
      </c>
      <c r="G40" s="12">
        <f>SUM(C40:F40)</f>
        <v/>
      </c>
      <c r="H40" s="21" t="inlineStr">
        <is>
          <t>Good effort, but room for refinement.</t>
        </is>
      </c>
    </row>
    <row r="41" ht="22" customHeight="1">
      <c r="A41" s="92" t="inlineStr">
        <is>
          <t>H062</t>
        </is>
      </c>
      <c r="B41" s="23" t="inlineStr">
        <is>
          <t>Student</t>
        </is>
      </c>
      <c r="C41" s="16" t="n">
        <v>5</v>
      </c>
      <c r="D41" s="16" t="n">
        <v>4</v>
      </c>
      <c r="E41" s="16" t="n">
        <v>4</v>
      </c>
      <c r="F41" s="16" t="n">
        <v>5</v>
      </c>
      <c r="G41" s="17">
        <f>SUM(C41:F41)</f>
        <v/>
      </c>
      <c r="H41" s="24" t="inlineStr">
        <is>
          <t>Good effort, but room for refinement.</t>
        </is>
      </c>
    </row>
    <row r="42" ht="15" customHeight="1">
      <c r="A42" s="56" t="inlineStr">
        <is>
          <t xml:space="preserve">  Group 9   |   Dynamic Modelling of Sensor-Integrated Remotely Operated Underwater Vehicle (ROV)</t>
        </is>
      </c>
    </row>
    <row r="43" ht="22" customHeight="1">
      <c r="A43" s="102" t="inlineStr">
        <is>
          <t>H035</t>
        </is>
      </c>
      <c r="B43" s="10" t="inlineStr">
        <is>
          <t>Student</t>
        </is>
      </c>
      <c r="C43" s="11" t="n">
        <v>4</v>
      </c>
      <c r="D43" s="11" t="n">
        <v>4</v>
      </c>
      <c r="E43" s="11" t="n">
        <v>5</v>
      </c>
      <c r="F43" s="11" t="n">
        <v>4</v>
      </c>
      <c r="G43" s="12">
        <f>SUM(C43:F43)</f>
        <v/>
      </c>
      <c r="H43" s="13" t="inlineStr">
        <is>
          <t>Good effort, but room for refinement.</t>
        </is>
      </c>
    </row>
    <row r="44" ht="22" customHeight="1">
      <c r="A44" s="102" t="inlineStr">
        <is>
          <t>H040</t>
        </is>
      </c>
      <c r="B44" s="10" t="inlineStr">
        <is>
          <t>Student</t>
        </is>
      </c>
      <c r="C44" s="11" t="n">
        <v>5</v>
      </c>
      <c r="D44" s="11" t="n">
        <v>5</v>
      </c>
      <c r="E44" s="11" t="n">
        <v>4</v>
      </c>
      <c r="F44" s="11" t="n">
        <v>5</v>
      </c>
      <c r="G44" s="12">
        <f>SUM(C44:F44)</f>
        <v/>
      </c>
      <c r="H44" s="13" t="inlineStr">
        <is>
          <t>Good effort, but room for refinement.</t>
        </is>
      </c>
    </row>
    <row r="45" ht="22" customHeight="1">
      <c r="A45" s="102" t="inlineStr">
        <is>
          <t>H046</t>
        </is>
      </c>
      <c r="B45" s="10" t="inlineStr">
        <is>
          <t>Student</t>
        </is>
      </c>
      <c r="C45" s="11" t="n">
        <v>4</v>
      </c>
      <c r="D45" s="11" t="n">
        <v>4</v>
      </c>
      <c r="E45" s="11" t="n">
        <v>5</v>
      </c>
      <c r="F45" s="11" t="n">
        <v>5</v>
      </c>
      <c r="G45" s="12">
        <f>SUM(C45:F45)</f>
        <v/>
      </c>
      <c r="H45" s="13" t="inlineStr">
        <is>
          <t>Good effort, but room for refinement.</t>
        </is>
      </c>
    </row>
    <row r="46" ht="22" customHeight="1">
      <c r="A46" s="105" t="inlineStr">
        <is>
          <t>H047</t>
        </is>
      </c>
      <c r="B46" s="15" t="inlineStr">
        <is>
          <t>Student</t>
        </is>
      </c>
      <c r="C46" s="16" t="n">
        <v>4</v>
      </c>
      <c r="D46" s="16" t="n">
        <v>4</v>
      </c>
      <c r="E46" s="16" t="n">
        <v>5</v>
      </c>
      <c r="F46" s="16" t="n">
        <v>5</v>
      </c>
      <c r="G46" s="17">
        <f>SUM(C46:F46)</f>
        <v/>
      </c>
      <c r="H46" s="18" t="inlineStr">
        <is>
          <t>Good effort, but room for refinement.</t>
        </is>
      </c>
    </row>
    <row r="47" ht="15" customHeight="1">
      <c r="A47" s="56" t="inlineStr">
        <is>
          <t xml:space="preserve">  Group 10   |   Mathematical Modeling of Motors</t>
        </is>
      </c>
    </row>
    <row r="48" ht="22" customHeight="1">
      <c r="A48" s="82" t="inlineStr">
        <is>
          <t>H036</t>
        </is>
      </c>
      <c r="B48" s="20" t="inlineStr">
        <is>
          <t>Student</t>
        </is>
      </c>
      <c r="C48" s="11" t="n">
        <v>4</v>
      </c>
      <c r="D48" s="11" t="n">
        <v>5</v>
      </c>
      <c r="E48" s="11" t="n">
        <v>2</v>
      </c>
      <c r="F48" s="11" t="n">
        <v>5</v>
      </c>
      <c r="G48" s="12">
        <f>SUM(C48:F48)</f>
        <v/>
      </c>
      <c r="H48" s="21" t="inlineStr">
        <is>
          <t>Missing key simulation/validation components.</t>
        </is>
      </c>
    </row>
    <row r="49" ht="22" customHeight="1">
      <c r="A49" s="82" t="inlineStr">
        <is>
          <t>H050</t>
        </is>
      </c>
      <c r="B49" s="20" t="inlineStr">
        <is>
          <t>Student</t>
        </is>
      </c>
      <c r="C49" s="11" t="n">
        <v>5</v>
      </c>
      <c r="D49" s="11" t="n">
        <v>5</v>
      </c>
      <c r="E49" s="11" t="n">
        <v>2</v>
      </c>
      <c r="F49" s="11" t="n">
        <v>4</v>
      </c>
      <c r="G49" s="12">
        <f>SUM(C49:F49)</f>
        <v/>
      </c>
      <c r="H49" s="21" t="inlineStr">
        <is>
          <t>Missing key simulation/validation components.</t>
        </is>
      </c>
    </row>
    <row r="50" ht="22" customHeight="1">
      <c r="A50" s="82" t="inlineStr">
        <is>
          <t>H051</t>
        </is>
      </c>
      <c r="B50" s="20" t="inlineStr">
        <is>
          <t>Student</t>
        </is>
      </c>
      <c r="C50" s="11" t="n">
        <v>5</v>
      </c>
      <c r="D50" s="11" t="n">
        <v>4</v>
      </c>
      <c r="E50" s="11" t="n">
        <v>2</v>
      </c>
      <c r="F50" s="11" t="n">
        <v>5</v>
      </c>
      <c r="G50" s="12">
        <f>SUM(C50:F50)</f>
        <v/>
      </c>
      <c r="H50" s="21" t="inlineStr">
        <is>
          <t>Missing key simulation/validation components.</t>
        </is>
      </c>
    </row>
    <row r="51" ht="22" customHeight="1">
      <c r="A51" s="92" t="inlineStr">
        <is>
          <t>H052</t>
        </is>
      </c>
      <c r="B51" s="23" t="inlineStr">
        <is>
          <t>Student</t>
        </is>
      </c>
      <c r="C51" s="16" t="n">
        <v>4</v>
      </c>
      <c r="D51" s="16" t="n">
        <v>5</v>
      </c>
      <c r="E51" s="16" t="n">
        <v>2</v>
      </c>
      <c r="F51" s="16" t="n">
        <v>5</v>
      </c>
      <c r="G51" s="17">
        <f>SUM(C51:F51)</f>
        <v/>
      </c>
      <c r="H51" s="24" t="inlineStr">
        <is>
          <t>Missing key simulation/validation components.</t>
        </is>
      </c>
    </row>
    <row r="52" ht="15" customHeight="1">
      <c r="A52" s="56" t="inlineStr">
        <is>
          <t xml:space="preserve">  Group 11   |   Digital Twin (DT) of Motors</t>
        </is>
      </c>
    </row>
    <row r="53" ht="22" customHeight="1">
      <c r="A53" s="102" t="inlineStr">
        <is>
          <t>H020</t>
        </is>
      </c>
      <c r="B53" s="10" t="inlineStr">
        <is>
          <t>Student</t>
        </is>
      </c>
      <c r="C53" s="11" t="n">
        <v>4</v>
      </c>
      <c r="D53" s="11" t="n">
        <v>5</v>
      </c>
      <c r="E53" s="11" t="n">
        <v>4</v>
      </c>
      <c r="F53" s="11" t="n">
        <v>5</v>
      </c>
      <c r="G53" s="12">
        <f>SUM(C53:F53)</f>
        <v/>
      </c>
      <c r="H53" s="13" t="inlineStr">
        <is>
          <t>Good effort, but room for refinement.</t>
        </is>
      </c>
    </row>
    <row r="54" ht="22" customHeight="1">
      <c r="A54" s="105" t="inlineStr">
        <is>
          <t>H096</t>
        </is>
      </c>
      <c r="B54" s="15" t="inlineStr">
        <is>
          <t>Student</t>
        </is>
      </c>
      <c r="C54" s="16" t="n">
        <v>4</v>
      </c>
      <c r="D54" s="16" t="n">
        <v>5</v>
      </c>
      <c r="E54" s="16" t="n">
        <v>4</v>
      </c>
      <c r="F54" s="16" t="n">
        <v>5</v>
      </c>
      <c r="G54" s="17">
        <f>SUM(C54:F54)</f>
        <v/>
      </c>
      <c r="H54" s="18" t="inlineStr">
        <is>
          <t>Good effort, but room for refinement.</t>
        </is>
      </c>
    </row>
    <row r="55" ht="15" customHeight="1">
      <c r="A55" s="56" t="inlineStr">
        <is>
          <t xml:space="preserve">  Group 12   |   Mathematical Modeling for Robotic Gripper Mechanism</t>
        </is>
      </c>
    </row>
    <row r="56" ht="22" customHeight="1">
      <c r="A56" s="82" t="inlineStr">
        <is>
          <t>H076</t>
        </is>
      </c>
      <c r="B56" s="20" t="inlineStr">
        <is>
          <t>Student</t>
        </is>
      </c>
      <c r="C56" s="11" t="n">
        <v>4</v>
      </c>
      <c r="D56" s="11" t="n">
        <v>4</v>
      </c>
      <c r="E56" s="11" t="n">
        <v>2</v>
      </c>
      <c r="F56" s="11" t="n">
        <v>4</v>
      </c>
      <c r="G56" s="12">
        <f>SUM(C56:F56)</f>
        <v/>
      </c>
      <c r="H56" s="21" t="inlineStr">
        <is>
          <t>Missing key simulation/validation components.</t>
        </is>
      </c>
    </row>
    <row r="57" ht="22" customHeight="1">
      <c r="A57" s="82" t="inlineStr">
        <is>
          <t>H078</t>
        </is>
      </c>
      <c r="B57" s="20" t="inlineStr">
        <is>
          <t>Student</t>
        </is>
      </c>
      <c r="C57" s="11" t="n">
        <v>5</v>
      </c>
      <c r="D57" s="11" t="n">
        <v>4</v>
      </c>
      <c r="E57" s="11" t="n">
        <v>2</v>
      </c>
      <c r="F57" s="11" t="n">
        <v>5</v>
      </c>
      <c r="G57" s="12">
        <f>SUM(C57:F57)</f>
        <v/>
      </c>
      <c r="H57" s="21" t="inlineStr">
        <is>
          <t>Missing key simulation/validation components.</t>
        </is>
      </c>
    </row>
    <row r="58" ht="22" customHeight="1">
      <c r="A58" s="92" t="inlineStr">
        <is>
          <t>H088</t>
        </is>
      </c>
      <c r="B58" s="23" t="inlineStr">
        <is>
          <t>Student</t>
        </is>
      </c>
      <c r="C58" s="16" t="n">
        <v>4</v>
      </c>
      <c r="D58" s="16" t="n">
        <v>4</v>
      </c>
      <c r="E58" s="16" t="n">
        <v>2</v>
      </c>
      <c r="F58" s="16" t="n">
        <v>4</v>
      </c>
      <c r="G58" s="17">
        <f>SUM(C58:F58)</f>
        <v/>
      </c>
      <c r="H58" s="24" t="inlineStr">
        <is>
          <t>Missing key simulation/validation components.</t>
        </is>
      </c>
    </row>
    <row r="59" ht="15" customHeight="1">
      <c r="A59" s="56" t="inlineStr">
        <is>
          <t xml:space="preserve">  Group 13   |   Modeling Energy Loss in a Shock Absorber</t>
        </is>
      </c>
    </row>
    <row r="60" ht="22" customHeight="1">
      <c r="A60" s="102" t="inlineStr">
        <is>
          <t>H068</t>
        </is>
      </c>
      <c r="B60" s="10" t="inlineStr">
        <is>
          <t>Student</t>
        </is>
      </c>
      <c r="C60" s="11" t="n">
        <v>5</v>
      </c>
      <c r="D60" s="11" t="n">
        <v>5</v>
      </c>
      <c r="E60" s="11" t="n">
        <v>5</v>
      </c>
      <c r="F60" s="11" t="n">
        <v>5</v>
      </c>
      <c r="G60" s="12">
        <f>SUM(C60:F60)</f>
        <v/>
      </c>
      <c r="H60" s="13" t="inlineStr">
        <is>
          <t>Excellent work! Clear and well-presented.</t>
        </is>
      </c>
    </row>
    <row r="61" ht="22" customHeight="1">
      <c r="A61" s="102" t="inlineStr">
        <is>
          <t>H071</t>
        </is>
      </c>
      <c r="B61" s="10" t="inlineStr">
        <is>
          <t>Student</t>
        </is>
      </c>
      <c r="C61" s="11" t="n">
        <v>5</v>
      </c>
      <c r="D61" s="11" t="n">
        <v>4</v>
      </c>
      <c r="E61" s="11" t="n">
        <v>5</v>
      </c>
      <c r="F61" s="11" t="n">
        <v>5</v>
      </c>
      <c r="G61" s="12">
        <f>SUM(C61:F61)</f>
        <v/>
      </c>
      <c r="H61" s="13" t="inlineStr">
        <is>
          <t>Good effort, but room for refinement.</t>
        </is>
      </c>
    </row>
    <row r="62" ht="22" customHeight="1">
      <c r="A62" s="102" t="inlineStr">
        <is>
          <t>H086</t>
        </is>
      </c>
      <c r="B62" s="10" t="inlineStr">
        <is>
          <t>Student</t>
        </is>
      </c>
      <c r="C62" s="11" t="n">
        <v>5</v>
      </c>
      <c r="D62" s="11" t="n">
        <v>5</v>
      </c>
      <c r="E62" s="11" t="n">
        <v>5</v>
      </c>
      <c r="F62" s="11" t="n">
        <v>5</v>
      </c>
      <c r="G62" s="12">
        <f>SUM(C62:F62)</f>
        <v/>
      </c>
      <c r="H62" s="13" t="inlineStr">
        <is>
          <t>Excellent work! Clear and well-presented.</t>
        </is>
      </c>
    </row>
    <row r="63" ht="22" customHeight="1">
      <c r="A63" s="105" t="inlineStr">
        <is>
          <t>H097</t>
        </is>
      </c>
      <c r="B63" s="15" t="inlineStr">
        <is>
          <t>Student</t>
        </is>
      </c>
      <c r="C63" s="16" t="n">
        <v>4</v>
      </c>
      <c r="D63" s="16" t="n">
        <v>4</v>
      </c>
      <c r="E63" s="16" t="n">
        <v>5</v>
      </c>
      <c r="F63" s="16" t="n">
        <v>5</v>
      </c>
      <c r="G63" s="17">
        <f>SUM(C63:F63)</f>
        <v/>
      </c>
      <c r="H63" s="18" t="inlineStr">
        <is>
          <t>Good effort, but room for refinement.</t>
        </is>
      </c>
    </row>
    <row r="64" ht="15" customHeight="1">
      <c r="A64" s="56" t="inlineStr">
        <is>
          <t xml:space="preserve">  Group 14   |   Self-Balancing Robot with 2-DOF</t>
        </is>
      </c>
    </row>
    <row r="65" ht="22" customHeight="1">
      <c r="A65" s="82" t="inlineStr">
        <is>
          <t>H093</t>
        </is>
      </c>
      <c r="B65" s="20" t="inlineStr">
        <is>
          <t>Student</t>
        </is>
      </c>
      <c r="C65" s="11" t="n">
        <v>4</v>
      </c>
      <c r="D65" s="11" t="n">
        <v>5</v>
      </c>
      <c r="E65" s="11" t="n">
        <v>2</v>
      </c>
      <c r="F65" s="11" t="n">
        <v>4</v>
      </c>
      <c r="G65" s="12">
        <f>SUM(C65:F65)</f>
        <v/>
      </c>
      <c r="H65" s="21" t="inlineStr">
        <is>
          <t>Missing key simulation/validation components.</t>
        </is>
      </c>
    </row>
    <row r="66" ht="22" customHeight="1">
      <c r="A66" s="92" t="inlineStr">
        <is>
          <t>H095</t>
        </is>
      </c>
      <c r="B66" s="23" t="inlineStr">
        <is>
          <t>Student</t>
        </is>
      </c>
      <c r="C66" s="16" t="n">
        <v>5</v>
      </c>
      <c r="D66" s="16" t="n">
        <v>4</v>
      </c>
      <c r="E66" s="16" t="n">
        <v>2</v>
      </c>
      <c r="F66" s="16" t="n">
        <v>5</v>
      </c>
      <c r="G66" s="17">
        <f>SUM(C66:F66)</f>
        <v/>
      </c>
      <c r="H66" s="24" t="inlineStr">
        <is>
          <t>Missing key simulation/validation components.</t>
        </is>
      </c>
    </row>
    <row r="67" ht="15" customHeight="1">
      <c r="A67" s="56" t="inlineStr">
        <is>
          <t xml:space="preserve">  Group 15   |   Automated EoT (Electric Overhead Travel) Crane</t>
        </is>
      </c>
    </row>
    <row r="68" ht="22" customHeight="1">
      <c r="A68" s="102" t="inlineStr">
        <is>
          <t>H066</t>
        </is>
      </c>
      <c r="B68" s="10" t="inlineStr">
        <is>
          <t>Student</t>
        </is>
      </c>
      <c r="C68" s="11" t="n">
        <v>4</v>
      </c>
      <c r="D68" s="11" t="n">
        <v>5</v>
      </c>
      <c r="E68" s="11" t="n">
        <v>5</v>
      </c>
      <c r="F68" s="11" t="n">
        <v>5</v>
      </c>
      <c r="G68" s="12">
        <f>SUM(C68:F68)</f>
        <v/>
      </c>
      <c r="H68" s="13" t="inlineStr">
        <is>
          <t>Good effort, but room for refinement.</t>
        </is>
      </c>
    </row>
    <row r="69" ht="22" customHeight="1">
      <c r="A69" s="102" t="inlineStr">
        <is>
          <t>H067</t>
        </is>
      </c>
      <c r="B69" s="10" t="inlineStr">
        <is>
          <t>Student</t>
        </is>
      </c>
      <c r="C69" s="11" t="n">
        <v>4</v>
      </c>
      <c r="D69" s="11" t="n">
        <v>4</v>
      </c>
      <c r="E69" s="11" t="n">
        <v>5</v>
      </c>
      <c r="F69" s="11" t="n">
        <v>4</v>
      </c>
      <c r="G69" s="12">
        <f>SUM(C69:F69)</f>
        <v/>
      </c>
      <c r="H69" s="13" t="inlineStr">
        <is>
          <t>Good effort, but room for refinement.</t>
        </is>
      </c>
    </row>
    <row r="70" ht="22" customHeight="1">
      <c r="A70" s="102" t="inlineStr">
        <is>
          <t>H090</t>
        </is>
      </c>
      <c r="B70" s="10" t="inlineStr">
        <is>
          <t>Student</t>
        </is>
      </c>
      <c r="C70" s="11" t="n">
        <v>5</v>
      </c>
      <c r="D70" s="11" t="n">
        <v>5</v>
      </c>
      <c r="E70" s="11" t="n">
        <v>5</v>
      </c>
      <c r="F70" s="11" t="n">
        <v>5</v>
      </c>
      <c r="G70" s="12">
        <f>SUM(C70:F70)</f>
        <v/>
      </c>
      <c r="H70" s="13" t="inlineStr">
        <is>
          <t>Excellent work! Clear and well-presented.</t>
        </is>
      </c>
    </row>
    <row r="71" ht="22" customHeight="1">
      <c r="A71" s="105" t="inlineStr">
        <is>
          <t>H094</t>
        </is>
      </c>
      <c r="B71" s="15" t="inlineStr">
        <is>
          <t>Student</t>
        </is>
      </c>
      <c r="C71" s="16" t="n">
        <v>4</v>
      </c>
      <c r="D71" s="16" t="n">
        <v>4</v>
      </c>
      <c r="E71" s="16" t="n">
        <v>4</v>
      </c>
      <c r="F71" s="16" t="n">
        <v>5</v>
      </c>
      <c r="G71" s="17">
        <f>SUM(C71:F71)</f>
        <v/>
      </c>
      <c r="H71" s="18" t="inlineStr">
        <is>
          <t>Good effort, but room for refinement.</t>
        </is>
      </c>
    </row>
    <row r="72" ht="15" customHeight="1">
      <c r="A72" s="56" t="inlineStr">
        <is>
          <t xml:space="preserve">  Group 16   |   Mathematical Operation of Pick-and-Place Autonomous Rover</t>
        </is>
      </c>
    </row>
    <row r="73" ht="22" customHeight="1">
      <c r="A73" s="82" t="inlineStr">
        <is>
          <t>H034</t>
        </is>
      </c>
      <c r="B73" s="20" t="inlineStr">
        <is>
          <t>Student</t>
        </is>
      </c>
      <c r="C73" s="11" t="n">
        <v>4</v>
      </c>
      <c r="D73" s="11" t="n">
        <v>5</v>
      </c>
      <c r="E73" s="11" t="n">
        <v>4</v>
      </c>
      <c r="F73" s="11" t="n">
        <v>4</v>
      </c>
      <c r="G73" s="12">
        <f>SUM(C73:F73)</f>
        <v/>
      </c>
      <c r="H73" s="21" t="inlineStr">
        <is>
          <t>Good effort, but room for refinement.</t>
        </is>
      </c>
    </row>
    <row r="74" ht="22" customHeight="1">
      <c r="A74" s="82" t="inlineStr">
        <is>
          <t>H041</t>
        </is>
      </c>
      <c r="B74" s="20" t="inlineStr">
        <is>
          <t>Student</t>
        </is>
      </c>
      <c r="C74" s="11" t="n">
        <v>5</v>
      </c>
      <c r="D74" s="11" t="n">
        <v>4</v>
      </c>
      <c r="E74" s="11" t="n">
        <v>4</v>
      </c>
      <c r="F74" s="11" t="n">
        <v>5</v>
      </c>
      <c r="G74" s="12">
        <f>SUM(C74:F74)</f>
        <v/>
      </c>
      <c r="H74" s="21" t="inlineStr">
        <is>
          <t>Good effort, but room for refinement.</t>
        </is>
      </c>
    </row>
    <row r="75" ht="22" customHeight="1">
      <c r="A75" s="92" t="inlineStr">
        <is>
          <t>H056</t>
        </is>
      </c>
      <c r="B75" s="23" t="inlineStr">
        <is>
          <t>Student</t>
        </is>
      </c>
      <c r="C75" s="16" t="n">
        <v>4</v>
      </c>
      <c r="D75" s="16" t="n">
        <v>5</v>
      </c>
      <c r="E75" s="16" t="n">
        <v>4</v>
      </c>
      <c r="F75" s="16" t="n">
        <v>5</v>
      </c>
      <c r="G75" s="17">
        <f>SUM(C75:F75)</f>
        <v/>
      </c>
      <c r="H75" s="24" t="inlineStr">
        <is>
          <t>Good effort, but room for refinement.</t>
        </is>
      </c>
    </row>
    <row r="76" ht="15" customHeight="1">
      <c r="A76" s="56" t="inlineStr">
        <is>
          <t xml:space="preserve">  Group 17   |   Mathematical Modeling of Loading Effects on a Conveyor</t>
        </is>
      </c>
    </row>
    <row r="77" ht="22" customHeight="1">
      <c r="A77" s="102" t="inlineStr">
        <is>
          <t>H074</t>
        </is>
      </c>
      <c r="B77" s="10" t="inlineStr">
        <is>
          <t>Student</t>
        </is>
      </c>
      <c r="C77" s="11" t="n">
        <v>5</v>
      </c>
      <c r="D77" s="11" t="n">
        <v>5</v>
      </c>
      <c r="E77" s="11" t="n">
        <v>4</v>
      </c>
      <c r="F77" s="11" t="n">
        <v>5</v>
      </c>
      <c r="G77" s="12">
        <f>SUM(C77:F77)</f>
        <v/>
      </c>
      <c r="H77" s="13" t="inlineStr">
        <is>
          <t>Good effort, but room for refinement.</t>
        </is>
      </c>
    </row>
    <row r="78" ht="22" customHeight="1">
      <c r="A78" s="105" t="inlineStr">
        <is>
          <t>H075</t>
        </is>
      </c>
      <c r="B78" s="15" t="inlineStr">
        <is>
          <t>Student</t>
        </is>
      </c>
      <c r="C78" s="16" t="n">
        <v>5</v>
      </c>
      <c r="D78" s="16" t="n">
        <v>4</v>
      </c>
      <c r="E78" s="16" t="n">
        <v>4</v>
      </c>
      <c r="F78" s="16" t="n">
        <v>5</v>
      </c>
      <c r="G78" s="17">
        <f>SUM(C78:F78)</f>
        <v/>
      </c>
      <c r="H78" s="18" t="inlineStr">
        <is>
          <t>Good effort, but room for refinement.</t>
        </is>
      </c>
    </row>
    <row r="79" ht="40" customHeight="1">
      <c r="A79" s="57" t="inlineStr">
        <is>
          <t>GRADING SCALE (each criterion, out of 5):   5 = Excellent  |  4 = Good  |  3 = Satisfactory  |  2 = Needs Improvement  |  1 = Poor  |  0 = Not demonstrated
  C1, C2, C3  [GROUP]: enter the SAME mark for all students in the group.     C4  [INDIVIDUAL]: evaluate each student SEPARATELY.</t>
        </is>
      </c>
    </row>
    <row r="80" ht="50" customHeight="1">
      <c r="A80" s="58" t="inlineStr">
        <is>
          <t>CRITERIA DETAIL:   C1 — Industrial System Relevance  [GROUP]:  Modeled dynamic system represents a real-world industrial automation challenge or machine system.  |  C2 — Control &amp; Actuation Alignment  [GROUP]:  Math model is structured to connect with PLC, SCADA, servo drives, or motion control hardware.  |  C3 — Digital Twin / Industry 4.0 Potential  [GROUP]:  Simulation is formulated to serve as a Digital Twin; reflects Industry 4.0 / IoT thinking.  |  C4 — Individual Automation Q&amp;A  [INDIVIDUAL]:  This student articulates the industrial automation relevance and control implementation strategy when questioned.</t>
        </is>
      </c>
    </row>
    <row r="81" ht="28" customHeight="1">
      <c r="A81" s="27" t="inlineStr">
        <is>
          <t>Evaluator Signature:   Mr. Mahendra Kane</t>
        </is>
      </c>
      <c r="B81" s="111" t="n"/>
      <c r="C81" s="28" t="inlineStr">
        <is>
          <t>Date:   25 / 04 / 2026</t>
        </is>
      </c>
      <c r="D81" s="111" t="n"/>
      <c r="E81" s="28" t="inlineStr">
        <is>
          <t>Coordinated by:   Prof. Sunny Nanade  (Course Instructor, NMIMS)</t>
        </is>
      </c>
      <c r="F81" s="112" t="n"/>
      <c r="G81" s="112" t="n"/>
      <c r="H81" s="111" t="n"/>
    </row>
  </sheetData>
  <mergeCells count="28">
    <mergeCell ref="A67:H67"/>
    <mergeCell ref="A59:H59"/>
    <mergeCell ref="A64:H64"/>
    <mergeCell ref="A1:H1"/>
    <mergeCell ref="E81:H81"/>
    <mergeCell ref="A79:H79"/>
    <mergeCell ref="A6:H6"/>
    <mergeCell ref="A80:H80"/>
    <mergeCell ref="A12:H12"/>
    <mergeCell ref="A3:H3"/>
    <mergeCell ref="A21:H21"/>
    <mergeCell ref="A26:H26"/>
    <mergeCell ref="A55:H55"/>
    <mergeCell ref="A2:H2"/>
    <mergeCell ref="A42:H42"/>
    <mergeCell ref="A76:H76"/>
    <mergeCell ref="A47:H47"/>
    <mergeCell ref="A5:H5"/>
    <mergeCell ref="A8:H8"/>
    <mergeCell ref="A17:H17"/>
    <mergeCell ref="A4:H4"/>
    <mergeCell ref="A81:B81"/>
    <mergeCell ref="A38:H38"/>
    <mergeCell ref="C81:D81"/>
    <mergeCell ref="A72:H72"/>
    <mergeCell ref="A52:H52"/>
    <mergeCell ref="A31:H31"/>
    <mergeCell ref="A34:H34"/>
  </mergeCells>
  <pageMargins left="0.4" right="0.4" top="0.5" bottom="0.5" header="0.3" footer="0.3"/>
  <pageSetup orientation="landscape" paperSize="9" fitToHeight="0" fitToWidth="1"/>
  <headerFooter>
    <oddHeader>&amp;CMini Project Exhibition 2026  |  Mr. Mahendra Kane  |  25 April 2026  |  /20 marks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5471B"/>
    <outlinePr summaryBelow="1" summaryRight="1"/>
    <pageSetUpPr fitToPage="1"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35" customWidth="1" min="8" max="8"/>
  </cols>
  <sheetData>
    <row r="1" ht="20" customHeight="1">
      <c r="A1" s="59" t="inlineStr">
        <is>
          <t>MINI PROJECT EXHIBITION 2026  |  Dynamic System Modeling (702MH0C023)  |  B.Tech Mechatronics Engineering, Semester IV, AY 2025-26  |  NMIMS MPSTME</t>
        </is>
      </c>
    </row>
    <row r="2" ht="30" customHeight="1">
      <c r="A2" s="60" t="inlineStr">
        <is>
          <t>EVALUATOR:   Ms. Parminder Jandoo          ROLE:   Communication &amp; Presentation Expert</t>
        </is>
      </c>
    </row>
    <row r="3" ht="24" customHeight="1">
      <c r="A3" s="61" t="inlineStr">
        <is>
          <t>Session:  MORNING (09:00-13:00) + AFTERNOON (13:30-17:00)  --  Combined 16 Marks     Date:  25 April 2026 (Saturday)     Venue:  AR/VR Lab, MPSTME, NMIMS</t>
        </is>
      </c>
    </row>
    <row r="4" ht="20" customHeight="1">
      <c r="A4" s="62" t="inlineStr">
        <is>
          <t>ASSESSMENT FOCUS:   Communication quality, delivery, body language, and presentation skills observed across the morning demo and the afternoon formal presentation.</t>
        </is>
      </c>
    </row>
    <row r="5" ht="18" customHeight="1">
      <c r="A5" s="63" t="inlineStr">
        <is>
          <t>SF-PBL: Assess how clearly each student communicates their simulation journey: problem identification -&gt; math model -&gt; simulation results -&gt; validation.</t>
        </is>
      </c>
    </row>
    <row r="6" ht="22" customHeight="1">
      <c r="A6" s="64" t="inlineStr">
        <is>
          <t>CRITERIA KEY:   C1: Technical Clarity  |  C2: Confidence &amp; Q&amp;A Response  |  C3: Presentation Delivery  |  C4: Overall Communication Impact</t>
        </is>
      </c>
    </row>
    <row r="7" ht="34" customHeight="1">
      <c r="A7" s="65" t="inlineStr">
        <is>
          <t>Roll No.</t>
        </is>
      </c>
      <c r="B7" s="65" t="inlineStr">
        <is>
          <t>Student Name</t>
        </is>
      </c>
      <c r="C7" s="65" t="inlineStr">
        <is>
          <t>C1
/4</t>
        </is>
      </c>
      <c r="D7" s="65" t="inlineStr">
        <is>
          <t>C2
/4</t>
        </is>
      </c>
      <c r="E7" s="65" t="inlineStr">
        <is>
          <t>C3
/4</t>
        </is>
      </c>
      <c r="F7" s="65" t="inlineStr">
        <is>
          <t>C4
/4</t>
        </is>
      </c>
      <c r="G7" s="65" t="inlineStr">
        <is>
          <t>Total
/16</t>
        </is>
      </c>
      <c r="H7" s="65" t="inlineStr">
        <is>
          <t>Comments / Feedback</t>
        </is>
      </c>
    </row>
    <row r="8" ht="15" customHeight="1">
      <c r="A8" s="66" t="inlineStr">
        <is>
          <t xml:space="preserve">  Group 1   |   Mathematical Modeling and Dynamic Analysis of a Multi-Terrain Four-Wheeled Robot</t>
        </is>
      </c>
    </row>
    <row r="9" ht="22" customHeight="1">
      <c r="A9" s="102" t="inlineStr">
        <is>
          <t>H079</t>
        </is>
      </c>
      <c r="B9" s="10" t="inlineStr">
        <is>
          <t>Student</t>
        </is>
      </c>
      <c r="C9" s="11" t="n">
        <v>4</v>
      </c>
      <c r="D9" s="11" t="n">
        <v>3</v>
      </c>
      <c r="E9" s="11" t="n">
        <v>3</v>
      </c>
      <c r="F9" s="11" t="n">
        <v>4</v>
      </c>
      <c r="G9" s="12">
        <f>SUM(C9:F9)</f>
        <v/>
      </c>
      <c r="H9" s="13" t="inlineStr">
        <is>
          <t>Good effort, but room for refinement.</t>
        </is>
      </c>
    </row>
    <row r="10" ht="22" customHeight="1">
      <c r="A10" s="102" t="inlineStr">
        <is>
          <t>H082</t>
        </is>
      </c>
      <c r="B10" s="10" t="inlineStr">
        <is>
          <t>Student</t>
        </is>
      </c>
      <c r="C10" s="11" t="n">
        <v>3</v>
      </c>
      <c r="D10" s="11" t="n">
        <v>3</v>
      </c>
      <c r="E10" s="11" t="n">
        <v>4</v>
      </c>
      <c r="F10" s="11" t="n">
        <v>4</v>
      </c>
      <c r="G10" s="12">
        <f>SUM(C10:F10)</f>
        <v/>
      </c>
      <c r="H10" s="13" t="inlineStr">
        <is>
          <t>Good effort, but room for refinement.</t>
        </is>
      </c>
    </row>
    <row r="11" ht="22" customHeight="1">
      <c r="A11" s="105" t="inlineStr">
        <is>
          <t>H084</t>
        </is>
      </c>
      <c r="B11" s="15" t="inlineStr">
        <is>
          <t>Student</t>
        </is>
      </c>
      <c r="C11" s="16" t="n">
        <v>3</v>
      </c>
      <c r="D11" s="16" t="n">
        <v>3</v>
      </c>
      <c r="E11" s="16" t="n">
        <v>4</v>
      </c>
      <c r="F11" s="16" t="n">
        <v>3</v>
      </c>
      <c r="G11" s="17">
        <f>SUM(C11:F11)</f>
        <v/>
      </c>
      <c r="H11" s="18" t="inlineStr">
        <is>
          <t>Good effort, but room for refinement.</t>
        </is>
      </c>
    </row>
    <row r="12" ht="15" customHeight="1">
      <c r="A12" s="66" t="inlineStr">
        <is>
          <t xml:space="preserve">  Group 2   |   Modeling Rocket Landing - Docking</t>
        </is>
      </c>
    </row>
    <row r="13" ht="22" customHeight="1">
      <c r="A13" s="82" t="inlineStr">
        <is>
          <t>H004</t>
        </is>
      </c>
      <c r="B13" s="20" t="inlineStr">
        <is>
          <t>Student</t>
        </is>
      </c>
      <c r="C13" s="11" t="n">
        <v>1</v>
      </c>
      <c r="D13" s="11" t="n">
        <v>3</v>
      </c>
      <c r="E13" s="11" t="n">
        <v>3</v>
      </c>
      <c r="F13" s="11" t="n">
        <v>4</v>
      </c>
      <c r="G13" s="12">
        <f>SUM(C13:F13)</f>
        <v/>
      </c>
      <c r="H13" s="21" t="inlineStr">
        <is>
          <t>Needs significant improvement. Deliverables missing.</t>
        </is>
      </c>
    </row>
    <row r="14" ht="22" customHeight="1">
      <c r="A14" s="82" t="inlineStr">
        <is>
          <t>H005</t>
        </is>
      </c>
      <c r="B14" s="20" t="inlineStr">
        <is>
          <t>Student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2">
        <f>SUM(C14:F14)</f>
        <v/>
      </c>
      <c r="H14" s="21" t="inlineStr">
        <is>
          <t>Absent throughout.</t>
        </is>
      </c>
    </row>
    <row r="15" ht="22" customHeight="1">
      <c r="A15" s="82" t="inlineStr">
        <is>
          <t>H028</t>
        </is>
      </c>
      <c r="B15" s="20" t="inlineStr">
        <is>
          <t>Student</t>
        </is>
      </c>
      <c r="C15" s="11" t="n">
        <v>1</v>
      </c>
      <c r="D15" s="11" t="n">
        <v>4</v>
      </c>
      <c r="E15" s="11" t="n">
        <v>4</v>
      </c>
      <c r="F15" s="11" t="n">
        <v>4</v>
      </c>
      <c r="G15" s="12">
        <f>SUM(C15:F15)</f>
        <v/>
      </c>
      <c r="H15" s="21" t="inlineStr">
        <is>
          <t>Needs significant improvement. Deliverables missing.</t>
        </is>
      </c>
    </row>
    <row r="16" ht="22" customHeight="1">
      <c r="A16" s="92" t="inlineStr">
        <is>
          <t>H031</t>
        </is>
      </c>
      <c r="B16" s="23" t="inlineStr">
        <is>
          <t>Student</t>
        </is>
      </c>
      <c r="C16" s="16" t="n">
        <v>1</v>
      </c>
      <c r="D16" s="16" t="n">
        <v>4</v>
      </c>
      <c r="E16" s="16" t="n">
        <v>4</v>
      </c>
      <c r="F16" s="16" t="n">
        <v>3</v>
      </c>
      <c r="G16" s="17">
        <f>SUM(C16:F16)</f>
        <v/>
      </c>
      <c r="H16" s="24" t="inlineStr">
        <is>
          <t>Needs significant improvement. Deliverables missing.</t>
        </is>
      </c>
    </row>
    <row r="17" ht="15" customHeight="1">
      <c r="A17" s="66" t="inlineStr">
        <is>
          <t xml:space="preserve">  Group 3   |   Dynamic Modeling and Stability Analysis of 2-DOF Leg Mechanism for Quadruped Robot</t>
        </is>
      </c>
    </row>
    <row r="18" ht="22" customHeight="1">
      <c r="A18" s="102" t="inlineStr">
        <is>
          <t>H009</t>
        </is>
      </c>
      <c r="B18" s="10" t="inlineStr">
        <is>
          <t>Student</t>
        </is>
      </c>
      <c r="C18" s="11" t="n">
        <v>4</v>
      </c>
      <c r="D18" s="11" t="n">
        <v>4</v>
      </c>
      <c r="E18" s="11" t="n">
        <v>4</v>
      </c>
      <c r="F18" s="11" t="n">
        <v>4</v>
      </c>
      <c r="G18" s="12">
        <f>SUM(C18:F18)</f>
        <v/>
      </c>
      <c r="H18" s="13" t="inlineStr">
        <is>
          <t>Excellent work! Clear and well-presented.</t>
        </is>
      </c>
    </row>
    <row r="19" ht="22" customHeight="1">
      <c r="A19" s="102" t="inlineStr">
        <is>
          <t>H012</t>
        </is>
      </c>
      <c r="B19" s="10" t="inlineStr">
        <is>
          <t>Student</t>
        </is>
      </c>
      <c r="C19" s="11" t="n">
        <v>3</v>
      </c>
      <c r="D19" s="11" t="n">
        <v>4</v>
      </c>
      <c r="E19" s="11" t="n">
        <v>4</v>
      </c>
      <c r="F19" s="11" t="n">
        <v>4</v>
      </c>
      <c r="G19" s="12">
        <f>SUM(C19:F19)</f>
        <v/>
      </c>
      <c r="H19" s="13" t="inlineStr">
        <is>
          <t>Good effort, but room for refinement.</t>
        </is>
      </c>
    </row>
    <row r="20" ht="22" customHeight="1">
      <c r="A20" s="105" t="inlineStr">
        <is>
          <t>H033</t>
        </is>
      </c>
      <c r="B20" s="15" t="inlineStr">
        <is>
          <t>Student</t>
        </is>
      </c>
      <c r="C20" s="16" t="n">
        <v>3</v>
      </c>
      <c r="D20" s="16" t="n">
        <v>3</v>
      </c>
      <c r="E20" s="16" t="n">
        <v>3</v>
      </c>
      <c r="F20" s="16" t="n">
        <v>4</v>
      </c>
      <c r="G20" s="17">
        <f>SUM(C20:F20)</f>
        <v/>
      </c>
      <c r="H20" s="18" t="inlineStr">
        <is>
          <t>Good effort, but room for refinement.</t>
        </is>
      </c>
    </row>
    <row r="21" ht="15" customHeight="1">
      <c r="A21" s="66" t="inlineStr">
        <is>
          <t xml:space="preserve">  Group 4   |   Critical Skid Velocity Mathematical Modeling</t>
        </is>
      </c>
    </row>
    <row r="22" ht="22" customHeight="1">
      <c r="A22" s="82" t="inlineStr">
        <is>
          <t>H014</t>
        </is>
      </c>
      <c r="B22" s="20" t="inlineStr">
        <is>
          <t>Student</t>
        </is>
      </c>
      <c r="C22" s="11" t="n">
        <v>1</v>
      </c>
      <c r="D22" s="11" t="n">
        <v>4</v>
      </c>
      <c r="E22" s="11" t="n">
        <v>4</v>
      </c>
      <c r="F22" s="11" t="n">
        <v>4</v>
      </c>
      <c r="G22" s="12">
        <f>SUM(C22:F22)</f>
        <v/>
      </c>
      <c r="H22" s="21" t="inlineStr">
        <is>
          <t>Missing key simulation/validation components.</t>
        </is>
      </c>
    </row>
    <row r="23" ht="22" customHeight="1">
      <c r="A23" s="82" t="inlineStr">
        <is>
          <t>H015</t>
        </is>
      </c>
      <c r="B23" s="20" t="inlineStr">
        <is>
          <t>Student</t>
        </is>
      </c>
      <c r="C23" s="11" t="n">
        <v>1</v>
      </c>
      <c r="D23" s="11" t="n">
        <v>3</v>
      </c>
      <c r="E23" s="11" t="n">
        <v>3</v>
      </c>
      <c r="F23" s="11" t="n">
        <v>4</v>
      </c>
      <c r="G23" s="12">
        <f>SUM(C23:F23)</f>
        <v/>
      </c>
      <c r="H23" s="21" t="inlineStr">
        <is>
          <t>Missing key simulation/validation components.</t>
        </is>
      </c>
    </row>
    <row r="24" ht="22" customHeight="1">
      <c r="A24" s="82" t="inlineStr">
        <is>
          <t>H016</t>
        </is>
      </c>
      <c r="B24" s="20" t="inlineStr">
        <is>
          <t>Student</t>
        </is>
      </c>
      <c r="C24" s="11" t="n">
        <v>1</v>
      </c>
      <c r="D24" s="11" t="n">
        <v>3</v>
      </c>
      <c r="E24" s="11" t="n">
        <v>3</v>
      </c>
      <c r="F24" s="11" t="n">
        <v>3</v>
      </c>
      <c r="G24" s="12">
        <f>SUM(C24:F24)</f>
        <v/>
      </c>
      <c r="H24" s="21" t="inlineStr">
        <is>
          <t>Missing key simulation/validation components.</t>
        </is>
      </c>
    </row>
    <row r="25" ht="22" customHeight="1">
      <c r="A25" s="92" t="inlineStr">
        <is>
          <t>H025</t>
        </is>
      </c>
      <c r="B25" s="23" t="inlineStr">
        <is>
          <t>Student</t>
        </is>
      </c>
      <c r="C25" s="16" t="n">
        <v>1</v>
      </c>
      <c r="D25" s="16" t="n">
        <v>4</v>
      </c>
      <c r="E25" s="16" t="n">
        <v>4</v>
      </c>
      <c r="F25" s="16" t="n">
        <v>4</v>
      </c>
      <c r="G25" s="17">
        <f>SUM(C25:F25)</f>
        <v/>
      </c>
      <c r="H25" s="24" t="inlineStr">
        <is>
          <t>Missing key simulation/validation components.</t>
        </is>
      </c>
    </row>
    <row r="26" ht="15" customHeight="1">
      <c r="A26" s="66" t="inlineStr">
        <is>
          <t xml:space="preserve">  Group 5   |   Humanoid Robot - Dynamic Modeling</t>
        </is>
      </c>
    </row>
    <row r="27" ht="22" customHeight="1">
      <c r="A27" s="102" t="inlineStr">
        <is>
          <t>H003</t>
        </is>
      </c>
      <c r="B27" s="10" t="inlineStr">
        <is>
          <t>Student</t>
        </is>
      </c>
      <c r="C27" s="11" t="n">
        <v>4</v>
      </c>
      <c r="D27" s="11" t="n">
        <v>4</v>
      </c>
      <c r="E27" s="11" t="n">
        <v>4</v>
      </c>
      <c r="F27" s="11" t="n">
        <v>3</v>
      </c>
      <c r="G27" s="12">
        <f>SUM(C27:F27)</f>
        <v/>
      </c>
      <c r="H27" s="13" t="inlineStr">
        <is>
          <t>Excellent work! Clear and well-presented.</t>
        </is>
      </c>
    </row>
    <row r="28" ht="22" customHeight="1">
      <c r="A28" s="102" t="inlineStr">
        <is>
          <t>H006</t>
        </is>
      </c>
      <c r="B28" s="10" t="inlineStr">
        <is>
          <t>Student</t>
        </is>
      </c>
      <c r="C28" s="11" t="n">
        <v>4</v>
      </c>
      <c r="D28" s="11" t="n">
        <v>3</v>
      </c>
      <c r="E28" s="11" t="n">
        <v>3</v>
      </c>
      <c r="F28" s="11" t="n">
        <v>3</v>
      </c>
      <c r="G28" s="12">
        <f>SUM(C28:F28)</f>
        <v/>
      </c>
      <c r="H28" s="13" t="inlineStr">
        <is>
          <t>Good effort, but room for refinement.</t>
        </is>
      </c>
    </row>
    <row r="29" ht="22" customHeight="1">
      <c r="A29" s="102" t="inlineStr">
        <is>
          <t>H024</t>
        </is>
      </c>
      <c r="B29" s="10" t="inlineStr">
        <is>
          <t>Student</t>
        </is>
      </c>
      <c r="C29" s="11" t="n">
        <v>4</v>
      </c>
      <c r="D29" s="11" t="n">
        <v>3</v>
      </c>
      <c r="E29" s="11" t="n">
        <v>3</v>
      </c>
      <c r="F29" s="11" t="n">
        <v>3</v>
      </c>
      <c r="G29" s="12">
        <f>SUM(C29:F29)</f>
        <v/>
      </c>
      <c r="H29" s="13" t="inlineStr">
        <is>
          <t>Good effort, but room for refinement.</t>
        </is>
      </c>
    </row>
    <row r="30" ht="22" customHeight="1">
      <c r="A30" s="105" t="inlineStr">
        <is>
          <t>H029</t>
        </is>
      </c>
      <c r="B30" s="15" t="inlineStr">
        <is>
          <t>Student</t>
        </is>
      </c>
      <c r="C30" s="16" t="n">
        <v>4</v>
      </c>
      <c r="D30" s="16" t="n">
        <v>4</v>
      </c>
      <c r="E30" s="16" t="n">
        <v>3</v>
      </c>
      <c r="F30" s="16" t="n">
        <v>4</v>
      </c>
      <c r="G30" s="17">
        <f>SUM(C30:F30)</f>
        <v/>
      </c>
      <c r="H30" s="18" t="inlineStr">
        <is>
          <t>Good effort, but room for refinement.</t>
        </is>
      </c>
    </row>
    <row r="31" ht="15" customHeight="1">
      <c r="A31" s="66" t="inlineStr">
        <is>
          <t xml:space="preserve">  Group 6   |   Dynamic Modeling of Hydrogen Fuel Cell-Battery Hybrid Powertrain for Electric UAV</t>
        </is>
      </c>
    </row>
    <row r="32" ht="22" customHeight="1">
      <c r="A32" s="82" t="inlineStr">
        <is>
          <t>H001</t>
        </is>
      </c>
      <c r="B32" s="20" t="inlineStr">
        <is>
          <t>Student</t>
        </is>
      </c>
      <c r="C32" s="11" t="n">
        <v>1</v>
      </c>
      <c r="D32" s="11" t="n">
        <v>3</v>
      </c>
      <c r="E32" s="11" t="n">
        <v>0</v>
      </c>
      <c r="F32" s="11" t="n">
        <v>1</v>
      </c>
      <c r="G32" s="12">
        <f>SUM(C32:F32)</f>
        <v/>
      </c>
      <c r="H32" s="21" t="inlineStr">
        <is>
          <t>Missed afternoon formal presentation.</t>
        </is>
      </c>
    </row>
    <row r="33" ht="22" customHeight="1">
      <c r="A33" s="92" t="inlineStr">
        <is>
          <t>H002</t>
        </is>
      </c>
      <c r="B33" s="23" t="inlineStr">
        <is>
          <t>Student</t>
        </is>
      </c>
      <c r="C33" s="16" t="n">
        <v>1</v>
      </c>
      <c r="D33" s="16" t="n">
        <v>3</v>
      </c>
      <c r="E33" s="16" t="n">
        <v>0</v>
      </c>
      <c r="F33" s="16" t="n">
        <v>1</v>
      </c>
      <c r="G33" s="17">
        <f>SUM(C33:F33)</f>
        <v/>
      </c>
      <c r="H33" s="24" t="inlineStr">
        <is>
          <t>Missed afternoon formal presentation.</t>
        </is>
      </c>
    </row>
    <row r="34" ht="15" customHeight="1">
      <c r="A34" s="66" t="inlineStr">
        <is>
          <t xml:space="preserve">  Group 7   |   Hexapod Robot - Mathematical Modeling</t>
        </is>
      </c>
    </row>
    <row r="35" ht="22" customHeight="1">
      <c r="A35" s="102" t="inlineStr">
        <is>
          <t>H021</t>
        </is>
      </c>
      <c r="B35" s="10" t="inlineStr">
        <is>
          <t>Student</t>
        </is>
      </c>
      <c r="C35" s="11" t="n">
        <v>1</v>
      </c>
      <c r="D35" s="11" t="n">
        <v>4</v>
      </c>
      <c r="E35" s="11" t="n">
        <v>4</v>
      </c>
      <c r="F35" s="11" t="n">
        <v>3</v>
      </c>
      <c r="G35" s="12">
        <f>SUM(C35:F35)</f>
        <v/>
      </c>
      <c r="H35" s="13" t="inlineStr">
        <is>
          <t>Needs significant improvement. Deliverables missing.</t>
        </is>
      </c>
    </row>
    <row r="36" ht="22" customHeight="1">
      <c r="A36" s="102" t="inlineStr">
        <is>
          <t>H022</t>
        </is>
      </c>
      <c r="B36" s="10" t="inlineStr">
        <is>
          <t>Student</t>
        </is>
      </c>
      <c r="C36" s="11" t="n">
        <v>1</v>
      </c>
      <c r="D36" s="11" t="n">
        <v>4</v>
      </c>
      <c r="E36" s="11" t="n">
        <v>3</v>
      </c>
      <c r="F36" s="11" t="n">
        <v>4</v>
      </c>
      <c r="G36" s="12">
        <f>SUM(C36:F36)</f>
        <v/>
      </c>
      <c r="H36" s="13" t="inlineStr">
        <is>
          <t>Needs significant improvement. Deliverables missing.</t>
        </is>
      </c>
    </row>
    <row r="37" ht="22" customHeight="1">
      <c r="A37" s="105" t="inlineStr">
        <is>
          <t>H023</t>
        </is>
      </c>
      <c r="B37" s="15" t="inlineStr">
        <is>
          <t>Student</t>
        </is>
      </c>
      <c r="C37" s="16" t="n">
        <v>1</v>
      </c>
      <c r="D37" s="16" t="n">
        <v>4</v>
      </c>
      <c r="E37" s="16" t="n">
        <v>4</v>
      </c>
      <c r="F37" s="16" t="n">
        <v>4</v>
      </c>
      <c r="G37" s="17">
        <f>SUM(C37:F37)</f>
        <v/>
      </c>
      <c r="H37" s="18" t="inlineStr">
        <is>
          <t>Needs significant improvement. Deliverables missing.</t>
        </is>
      </c>
    </row>
    <row r="38" ht="15" customHeight="1">
      <c r="A38" s="66" t="inlineStr">
        <is>
          <t xml:space="preserve">  Group 8   |   Mathematical Modeling and Dynamics of Ball Balancing Robot using 6-DOF Stewart Mechanism</t>
        </is>
      </c>
    </row>
    <row r="39" ht="22" customHeight="1">
      <c r="A39" s="82" t="inlineStr">
        <is>
          <t>H059</t>
        </is>
      </c>
      <c r="B39" s="20" t="inlineStr">
        <is>
          <t>Student</t>
        </is>
      </c>
      <c r="C39" s="11" t="n">
        <v>4</v>
      </c>
      <c r="D39" s="11" t="n">
        <v>3</v>
      </c>
      <c r="E39" s="11" t="n">
        <v>3</v>
      </c>
      <c r="F39" s="11" t="n">
        <v>4</v>
      </c>
      <c r="G39" s="12">
        <f>SUM(C39:F39)</f>
        <v/>
      </c>
      <c r="H39" s="21" t="inlineStr">
        <is>
          <t>Good effort, but room for refinement.</t>
        </is>
      </c>
    </row>
    <row r="40" ht="22" customHeight="1">
      <c r="A40" s="82" t="inlineStr">
        <is>
          <t>H060</t>
        </is>
      </c>
      <c r="B40" s="20" t="inlineStr">
        <is>
          <t>Student</t>
        </is>
      </c>
      <c r="C40" s="11" t="n">
        <v>3</v>
      </c>
      <c r="D40" s="11" t="n">
        <v>4</v>
      </c>
      <c r="E40" s="11" t="n">
        <v>4</v>
      </c>
      <c r="F40" s="11" t="n">
        <v>3</v>
      </c>
      <c r="G40" s="12">
        <f>SUM(C40:F40)</f>
        <v/>
      </c>
      <c r="H40" s="21" t="inlineStr">
        <is>
          <t>Good effort, but room for refinement.</t>
        </is>
      </c>
    </row>
    <row r="41" ht="22" customHeight="1">
      <c r="A41" s="92" t="inlineStr">
        <is>
          <t>H062</t>
        </is>
      </c>
      <c r="B41" s="23" t="inlineStr">
        <is>
          <t>Student</t>
        </is>
      </c>
      <c r="C41" s="16" t="n">
        <v>4</v>
      </c>
      <c r="D41" s="16" t="n">
        <v>3</v>
      </c>
      <c r="E41" s="16" t="n">
        <v>4</v>
      </c>
      <c r="F41" s="16" t="n">
        <v>3</v>
      </c>
      <c r="G41" s="17">
        <f>SUM(C41:F41)</f>
        <v/>
      </c>
      <c r="H41" s="24" t="inlineStr">
        <is>
          <t>Good effort, but room for refinement.</t>
        </is>
      </c>
    </row>
    <row r="42" ht="15" customHeight="1">
      <c r="A42" s="66" t="inlineStr">
        <is>
          <t xml:space="preserve">  Group 9   |   Dynamic Modelling of Sensor-Integrated Remotely Operated Underwater Vehicle (ROV)</t>
        </is>
      </c>
    </row>
    <row r="43" ht="22" customHeight="1">
      <c r="A43" s="102" t="inlineStr">
        <is>
          <t>H035</t>
        </is>
      </c>
      <c r="B43" s="10" t="inlineStr">
        <is>
          <t>Student</t>
        </is>
      </c>
      <c r="C43" s="11" t="n">
        <v>4</v>
      </c>
      <c r="D43" s="11" t="n">
        <v>3</v>
      </c>
      <c r="E43" s="11" t="n">
        <v>4</v>
      </c>
      <c r="F43" s="11" t="n">
        <v>3</v>
      </c>
      <c r="G43" s="12">
        <f>SUM(C43:F43)</f>
        <v/>
      </c>
      <c r="H43" s="13" t="inlineStr">
        <is>
          <t>Good effort, but room for refinement.</t>
        </is>
      </c>
    </row>
    <row r="44" ht="22" customHeight="1">
      <c r="A44" s="102" t="inlineStr">
        <is>
          <t>H040</t>
        </is>
      </c>
      <c r="B44" s="10" t="inlineStr">
        <is>
          <t>Student</t>
        </is>
      </c>
      <c r="C44" s="11" t="n">
        <v>3</v>
      </c>
      <c r="D44" s="11" t="n">
        <v>4</v>
      </c>
      <c r="E44" s="11" t="n">
        <v>3</v>
      </c>
      <c r="F44" s="11" t="n">
        <v>4</v>
      </c>
      <c r="G44" s="12">
        <f>SUM(C44:F44)</f>
        <v/>
      </c>
      <c r="H44" s="13" t="inlineStr">
        <is>
          <t>Good effort, but room for refinement.</t>
        </is>
      </c>
    </row>
    <row r="45" ht="22" customHeight="1">
      <c r="A45" s="102" t="inlineStr">
        <is>
          <t>H046</t>
        </is>
      </c>
      <c r="B45" s="10" t="inlineStr">
        <is>
          <t>Student</t>
        </is>
      </c>
      <c r="C45" s="11" t="n">
        <v>4</v>
      </c>
      <c r="D45" s="11" t="n">
        <v>3</v>
      </c>
      <c r="E45" s="11" t="n">
        <v>3</v>
      </c>
      <c r="F45" s="11" t="n">
        <v>4</v>
      </c>
      <c r="G45" s="12">
        <f>SUM(C45:F45)</f>
        <v/>
      </c>
      <c r="H45" s="13" t="inlineStr">
        <is>
          <t>Good effort, but room for refinement.</t>
        </is>
      </c>
    </row>
    <row r="46" ht="22" customHeight="1">
      <c r="A46" s="105" t="inlineStr">
        <is>
          <t>H047</t>
        </is>
      </c>
      <c r="B46" s="15" t="inlineStr">
        <is>
          <t>Student</t>
        </is>
      </c>
      <c r="C46" s="16" t="n">
        <v>3</v>
      </c>
      <c r="D46" s="16" t="n">
        <v>4</v>
      </c>
      <c r="E46" s="16" t="n">
        <v>3</v>
      </c>
      <c r="F46" s="16" t="n">
        <v>4</v>
      </c>
      <c r="G46" s="17">
        <f>SUM(C46:F46)</f>
        <v/>
      </c>
      <c r="H46" s="18" t="inlineStr">
        <is>
          <t>Good effort, but room for refinement.</t>
        </is>
      </c>
    </row>
    <row r="47" ht="15" customHeight="1">
      <c r="A47" s="66" t="inlineStr">
        <is>
          <t xml:space="preserve">  Group 10   |   Mathematical Modeling of Motors</t>
        </is>
      </c>
    </row>
    <row r="48" ht="22" customHeight="1">
      <c r="A48" s="82" t="inlineStr">
        <is>
          <t>H036</t>
        </is>
      </c>
      <c r="B48" s="20" t="inlineStr">
        <is>
          <t>Student</t>
        </is>
      </c>
      <c r="C48" s="11" t="n">
        <v>3</v>
      </c>
      <c r="D48" s="11" t="n">
        <v>4</v>
      </c>
      <c r="E48" s="11" t="n">
        <v>4</v>
      </c>
      <c r="F48" s="11" t="n">
        <v>4</v>
      </c>
      <c r="G48" s="12">
        <f>SUM(C48:F48)</f>
        <v/>
      </c>
      <c r="H48" s="21" t="inlineStr">
        <is>
          <t>Good effort, but room for refinement.</t>
        </is>
      </c>
    </row>
    <row r="49" ht="22" customHeight="1">
      <c r="A49" s="82" t="inlineStr">
        <is>
          <t>H050</t>
        </is>
      </c>
      <c r="B49" s="20" t="inlineStr">
        <is>
          <t>Student</t>
        </is>
      </c>
      <c r="C49" s="11" t="n">
        <v>4</v>
      </c>
      <c r="D49" s="11" t="n">
        <v>3</v>
      </c>
      <c r="E49" s="11" t="n">
        <v>3</v>
      </c>
      <c r="F49" s="11" t="n">
        <v>4</v>
      </c>
      <c r="G49" s="12">
        <f>SUM(C49:F49)</f>
        <v/>
      </c>
      <c r="H49" s="21" t="inlineStr">
        <is>
          <t>Good effort, but room for refinement.</t>
        </is>
      </c>
    </row>
    <row r="50" ht="22" customHeight="1">
      <c r="A50" s="82" t="inlineStr">
        <is>
          <t>H051</t>
        </is>
      </c>
      <c r="B50" s="20" t="inlineStr">
        <is>
          <t>Student</t>
        </is>
      </c>
      <c r="C50" s="11" t="n">
        <v>4</v>
      </c>
      <c r="D50" s="11" t="n">
        <v>3</v>
      </c>
      <c r="E50" s="11" t="n">
        <v>3</v>
      </c>
      <c r="F50" s="11" t="n">
        <v>4</v>
      </c>
      <c r="G50" s="12">
        <f>SUM(C50:F50)</f>
        <v/>
      </c>
      <c r="H50" s="21" t="inlineStr">
        <is>
          <t>Good effort, but room for refinement.</t>
        </is>
      </c>
    </row>
    <row r="51" ht="22" customHeight="1">
      <c r="A51" s="92" t="inlineStr">
        <is>
          <t>H052</t>
        </is>
      </c>
      <c r="B51" s="23" t="inlineStr">
        <is>
          <t>Student</t>
        </is>
      </c>
      <c r="C51" s="16" t="n">
        <v>4</v>
      </c>
      <c r="D51" s="16" t="n">
        <v>3</v>
      </c>
      <c r="E51" s="16" t="n">
        <v>4</v>
      </c>
      <c r="F51" s="16" t="n">
        <v>4</v>
      </c>
      <c r="G51" s="17">
        <f>SUM(C51:F51)</f>
        <v/>
      </c>
      <c r="H51" s="24" t="inlineStr">
        <is>
          <t>Good effort, but room for refinement.</t>
        </is>
      </c>
    </row>
    <row r="52" ht="15" customHeight="1">
      <c r="A52" s="66" t="inlineStr">
        <is>
          <t xml:space="preserve">  Group 11   |   Digital Twin (DT) of Motors</t>
        </is>
      </c>
    </row>
    <row r="53" ht="22" customHeight="1">
      <c r="A53" s="102" t="inlineStr">
        <is>
          <t>H020</t>
        </is>
      </c>
      <c r="B53" s="10" t="inlineStr">
        <is>
          <t>Student</t>
        </is>
      </c>
      <c r="C53" s="11" t="n">
        <v>4</v>
      </c>
      <c r="D53" s="11" t="n">
        <v>4</v>
      </c>
      <c r="E53" s="11" t="n">
        <v>4</v>
      </c>
      <c r="F53" s="11" t="n">
        <v>4</v>
      </c>
      <c r="G53" s="12">
        <f>SUM(C53:F53)</f>
        <v/>
      </c>
      <c r="H53" s="13" t="inlineStr">
        <is>
          <t>Excellent work! Clear and well-presented.</t>
        </is>
      </c>
    </row>
    <row r="54" ht="22" customHeight="1">
      <c r="A54" s="105" t="inlineStr">
        <is>
          <t>H096</t>
        </is>
      </c>
      <c r="B54" s="15" t="inlineStr">
        <is>
          <t>Student</t>
        </is>
      </c>
      <c r="C54" s="16" t="n">
        <v>4</v>
      </c>
      <c r="D54" s="16" t="n">
        <v>4</v>
      </c>
      <c r="E54" s="16" t="n">
        <v>3</v>
      </c>
      <c r="F54" s="16" t="n">
        <v>4</v>
      </c>
      <c r="G54" s="17">
        <f>SUM(C54:F54)</f>
        <v/>
      </c>
      <c r="H54" s="18" t="inlineStr">
        <is>
          <t>Good effort, but room for refinement.</t>
        </is>
      </c>
    </row>
    <row r="55" ht="15" customHeight="1">
      <c r="A55" s="66" t="inlineStr">
        <is>
          <t xml:space="preserve">  Group 12   |   Mathematical Modeling for Robotic Gripper Mechanism</t>
        </is>
      </c>
    </row>
    <row r="56" ht="22" customHeight="1">
      <c r="A56" s="82" t="inlineStr">
        <is>
          <t>H076</t>
        </is>
      </c>
      <c r="B56" s="20" t="inlineStr">
        <is>
          <t>Student</t>
        </is>
      </c>
      <c r="C56" s="11" t="n">
        <v>1</v>
      </c>
      <c r="D56" s="11" t="n">
        <v>3</v>
      </c>
      <c r="E56" s="11" t="n">
        <v>4</v>
      </c>
      <c r="F56" s="11" t="n">
        <v>4</v>
      </c>
      <c r="G56" s="12">
        <f>SUM(C56:F56)</f>
        <v/>
      </c>
      <c r="H56" s="21" t="inlineStr">
        <is>
          <t>Missing key simulation/validation components.</t>
        </is>
      </c>
    </row>
    <row r="57" ht="22" customHeight="1">
      <c r="A57" s="82" t="inlineStr">
        <is>
          <t>H078</t>
        </is>
      </c>
      <c r="B57" s="20" t="inlineStr">
        <is>
          <t>Student</t>
        </is>
      </c>
      <c r="C57" s="11" t="n">
        <v>1</v>
      </c>
      <c r="D57" s="11" t="n">
        <v>4</v>
      </c>
      <c r="E57" s="11" t="n">
        <v>3</v>
      </c>
      <c r="F57" s="11" t="n">
        <v>4</v>
      </c>
      <c r="G57" s="12">
        <f>SUM(C57:F57)</f>
        <v/>
      </c>
      <c r="H57" s="21" t="inlineStr">
        <is>
          <t>Missing key simulation/validation components.</t>
        </is>
      </c>
    </row>
    <row r="58" ht="22" customHeight="1">
      <c r="A58" s="92" t="inlineStr">
        <is>
          <t>H088</t>
        </is>
      </c>
      <c r="B58" s="23" t="inlineStr">
        <is>
          <t>Student</t>
        </is>
      </c>
      <c r="C58" s="16" t="n">
        <v>1</v>
      </c>
      <c r="D58" s="16" t="n">
        <v>4</v>
      </c>
      <c r="E58" s="16" t="n">
        <v>4</v>
      </c>
      <c r="F58" s="16" t="n">
        <v>4</v>
      </c>
      <c r="G58" s="17">
        <f>SUM(C58:F58)</f>
        <v/>
      </c>
      <c r="H58" s="24" t="inlineStr">
        <is>
          <t>Missing key simulation/validation components.</t>
        </is>
      </c>
    </row>
    <row r="59" ht="15" customHeight="1">
      <c r="A59" s="66" t="inlineStr">
        <is>
          <t xml:space="preserve">  Group 13   |   Modeling Energy Loss in a Shock Absorber</t>
        </is>
      </c>
    </row>
    <row r="60" ht="22" customHeight="1">
      <c r="A60" s="102" t="inlineStr">
        <is>
          <t>H068</t>
        </is>
      </c>
      <c r="B60" s="10" t="inlineStr">
        <is>
          <t>Student</t>
        </is>
      </c>
      <c r="C60" s="11" t="n">
        <v>3</v>
      </c>
      <c r="D60" s="11" t="n">
        <v>3</v>
      </c>
      <c r="E60" s="11" t="n">
        <v>3</v>
      </c>
      <c r="F60" s="11" t="n">
        <v>3</v>
      </c>
      <c r="G60" s="12">
        <f>SUM(C60:F60)</f>
        <v/>
      </c>
      <c r="H60" s="13" t="inlineStr">
        <is>
          <t>Good effort, but room for refinement.</t>
        </is>
      </c>
    </row>
    <row r="61" ht="22" customHeight="1">
      <c r="A61" s="102" t="inlineStr">
        <is>
          <t>H071</t>
        </is>
      </c>
      <c r="B61" s="10" t="inlineStr">
        <is>
          <t>Student</t>
        </is>
      </c>
      <c r="C61" s="11" t="n">
        <v>3</v>
      </c>
      <c r="D61" s="11" t="n">
        <v>4</v>
      </c>
      <c r="E61" s="11" t="n">
        <v>4</v>
      </c>
      <c r="F61" s="11" t="n">
        <v>3</v>
      </c>
      <c r="G61" s="12">
        <f>SUM(C61:F61)</f>
        <v/>
      </c>
      <c r="H61" s="13" t="inlineStr">
        <is>
          <t>Good effort, but room for refinement.</t>
        </is>
      </c>
    </row>
    <row r="62" ht="22" customHeight="1">
      <c r="A62" s="102" t="inlineStr">
        <is>
          <t>H086</t>
        </is>
      </c>
      <c r="B62" s="10" t="inlineStr">
        <is>
          <t>Student</t>
        </is>
      </c>
      <c r="C62" s="11" t="n">
        <v>3</v>
      </c>
      <c r="D62" s="11" t="n">
        <v>4</v>
      </c>
      <c r="E62" s="11" t="n">
        <v>3</v>
      </c>
      <c r="F62" s="11" t="n">
        <v>4</v>
      </c>
      <c r="G62" s="12">
        <f>SUM(C62:F62)</f>
        <v/>
      </c>
      <c r="H62" s="13" t="inlineStr">
        <is>
          <t>Good effort, but room for refinement.</t>
        </is>
      </c>
    </row>
    <row r="63" ht="22" customHeight="1">
      <c r="A63" s="105" t="inlineStr">
        <is>
          <t>H097</t>
        </is>
      </c>
      <c r="B63" s="15" t="inlineStr">
        <is>
          <t>Student</t>
        </is>
      </c>
      <c r="C63" s="16" t="n">
        <v>3</v>
      </c>
      <c r="D63" s="16" t="n">
        <v>4</v>
      </c>
      <c r="E63" s="16" t="n">
        <v>4</v>
      </c>
      <c r="F63" s="16" t="n">
        <v>4</v>
      </c>
      <c r="G63" s="17">
        <f>SUM(C63:F63)</f>
        <v/>
      </c>
      <c r="H63" s="18" t="inlineStr">
        <is>
          <t>Good effort, but room for refinement.</t>
        </is>
      </c>
    </row>
    <row r="64" ht="15" customHeight="1">
      <c r="A64" s="66" t="inlineStr">
        <is>
          <t xml:space="preserve">  Group 14   |   Self-Balancing Robot with 2-DOF</t>
        </is>
      </c>
    </row>
    <row r="65" ht="22" customHeight="1">
      <c r="A65" s="82" t="inlineStr">
        <is>
          <t>H093</t>
        </is>
      </c>
      <c r="B65" s="20" t="inlineStr">
        <is>
          <t>Student</t>
        </is>
      </c>
      <c r="C65" s="11" t="n">
        <v>4</v>
      </c>
      <c r="D65" s="11" t="n">
        <v>4</v>
      </c>
      <c r="E65" s="11" t="n">
        <v>3</v>
      </c>
      <c r="F65" s="11" t="n">
        <v>4</v>
      </c>
      <c r="G65" s="12">
        <f>SUM(C65:F65)</f>
        <v/>
      </c>
      <c r="H65" s="21" t="inlineStr">
        <is>
          <t>Good effort, but room for refinement.</t>
        </is>
      </c>
    </row>
    <row r="66" ht="22" customHeight="1">
      <c r="A66" s="92" t="inlineStr">
        <is>
          <t>H095</t>
        </is>
      </c>
      <c r="B66" s="23" t="inlineStr">
        <is>
          <t>Student</t>
        </is>
      </c>
      <c r="C66" s="16" t="n">
        <v>3</v>
      </c>
      <c r="D66" s="16" t="n">
        <v>3</v>
      </c>
      <c r="E66" s="16" t="n">
        <v>4</v>
      </c>
      <c r="F66" s="16" t="n">
        <v>4</v>
      </c>
      <c r="G66" s="17">
        <f>SUM(C66:F66)</f>
        <v/>
      </c>
      <c r="H66" s="24" t="inlineStr">
        <is>
          <t>Good effort, but room for refinement.</t>
        </is>
      </c>
    </row>
    <row r="67" ht="15" customHeight="1">
      <c r="A67" s="66" t="inlineStr">
        <is>
          <t xml:space="preserve">  Group 15   |   Automated EoT (Electric Overhead Travel) Crane</t>
        </is>
      </c>
    </row>
    <row r="68" ht="22" customHeight="1">
      <c r="A68" s="102" t="inlineStr">
        <is>
          <t>H066</t>
        </is>
      </c>
      <c r="B68" s="10" t="inlineStr">
        <is>
          <t>Student</t>
        </is>
      </c>
      <c r="C68" s="11" t="n">
        <v>4</v>
      </c>
      <c r="D68" s="11" t="n">
        <v>3</v>
      </c>
      <c r="E68" s="11" t="n">
        <v>4</v>
      </c>
      <c r="F68" s="11" t="n">
        <v>4</v>
      </c>
      <c r="G68" s="12">
        <f>SUM(C68:F68)</f>
        <v/>
      </c>
      <c r="H68" s="13" t="inlineStr">
        <is>
          <t>Good effort, but room for refinement.</t>
        </is>
      </c>
    </row>
    <row r="69" ht="22" customHeight="1">
      <c r="A69" s="102" t="inlineStr">
        <is>
          <t>H067</t>
        </is>
      </c>
      <c r="B69" s="10" t="inlineStr">
        <is>
          <t>Student</t>
        </is>
      </c>
      <c r="C69" s="11" t="n">
        <v>3</v>
      </c>
      <c r="D69" s="11" t="n">
        <v>4</v>
      </c>
      <c r="E69" s="11" t="n">
        <v>4</v>
      </c>
      <c r="F69" s="11" t="n">
        <v>3</v>
      </c>
      <c r="G69" s="12">
        <f>SUM(C69:F69)</f>
        <v/>
      </c>
      <c r="H69" s="13" t="inlineStr">
        <is>
          <t>Good effort, but room for refinement.</t>
        </is>
      </c>
    </row>
    <row r="70" ht="22" customHeight="1">
      <c r="A70" s="102" t="inlineStr">
        <is>
          <t>H090</t>
        </is>
      </c>
      <c r="B70" s="10" t="inlineStr">
        <is>
          <t>Student</t>
        </is>
      </c>
      <c r="C70" s="11" t="n">
        <v>4</v>
      </c>
      <c r="D70" s="11" t="n">
        <v>4</v>
      </c>
      <c r="E70" s="11" t="n">
        <v>4</v>
      </c>
      <c r="F70" s="11" t="n">
        <v>4</v>
      </c>
      <c r="G70" s="12">
        <f>SUM(C70:F70)</f>
        <v/>
      </c>
      <c r="H70" s="13" t="inlineStr">
        <is>
          <t>Excellent work! Clear and well-presented.</t>
        </is>
      </c>
    </row>
    <row r="71" ht="22" customHeight="1">
      <c r="A71" s="105" t="inlineStr">
        <is>
          <t>H094</t>
        </is>
      </c>
      <c r="B71" s="15" t="inlineStr">
        <is>
          <t>Student</t>
        </is>
      </c>
      <c r="C71" s="16" t="n">
        <v>4</v>
      </c>
      <c r="D71" s="16" t="n">
        <v>3</v>
      </c>
      <c r="E71" s="16" t="n">
        <v>4</v>
      </c>
      <c r="F71" s="16" t="n">
        <v>3</v>
      </c>
      <c r="G71" s="17">
        <f>SUM(C71:F71)</f>
        <v/>
      </c>
      <c r="H71" s="18" t="inlineStr">
        <is>
          <t>Good effort, but room for refinement.</t>
        </is>
      </c>
    </row>
    <row r="72" ht="15" customHeight="1">
      <c r="A72" s="66" t="inlineStr">
        <is>
          <t xml:space="preserve">  Group 16   |   Mathematical Operation of Pick-and-Place Autonomous Rover</t>
        </is>
      </c>
    </row>
    <row r="73" ht="22" customHeight="1">
      <c r="A73" s="82" t="inlineStr">
        <is>
          <t>H034</t>
        </is>
      </c>
      <c r="B73" s="20" t="inlineStr">
        <is>
          <t>Student</t>
        </is>
      </c>
      <c r="C73" s="11" t="n">
        <v>3</v>
      </c>
      <c r="D73" s="11" t="n">
        <v>3</v>
      </c>
      <c r="E73" s="11" t="n">
        <v>4</v>
      </c>
      <c r="F73" s="11" t="n">
        <v>4</v>
      </c>
      <c r="G73" s="12">
        <f>SUM(C73:F73)</f>
        <v/>
      </c>
      <c r="H73" s="21" t="inlineStr">
        <is>
          <t>Good effort, but room for refinement.</t>
        </is>
      </c>
    </row>
    <row r="74" ht="22" customHeight="1">
      <c r="A74" s="82" t="inlineStr">
        <is>
          <t>H041</t>
        </is>
      </c>
      <c r="B74" s="20" t="inlineStr">
        <is>
          <t>Student</t>
        </is>
      </c>
      <c r="C74" s="11" t="n">
        <v>3</v>
      </c>
      <c r="D74" s="11" t="n">
        <v>3</v>
      </c>
      <c r="E74" s="11" t="n">
        <v>3</v>
      </c>
      <c r="F74" s="11" t="n">
        <v>4</v>
      </c>
      <c r="G74" s="12">
        <f>SUM(C74:F74)</f>
        <v/>
      </c>
      <c r="H74" s="21" t="inlineStr">
        <is>
          <t>Good effort, but room for refinement.</t>
        </is>
      </c>
    </row>
    <row r="75" ht="22" customHeight="1">
      <c r="A75" s="92" t="inlineStr">
        <is>
          <t>H056</t>
        </is>
      </c>
      <c r="B75" s="23" t="inlineStr">
        <is>
          <t>Student</t>
        </is>
      </c>
      <c r="C75" s="16" t="n">
        <v>4</v>
      </c>
      <c r="D75" s="16" t="n">
        <v>4</v>
      </c>
      <c r="E75" s="16" t="n">
        <v>3</v>
      </c>
      <c r="F75" s="16" t="n">
        <v>4</v>
      </c>
      <c r="G75" s="17">
        <f>SUM(C75:F75)</f>
        <v/>
      </c>
      <c r="H75" s="24" t="inlineStr">
        <is>
          <t>Good effort, but room for refinement.</t>
        </is>
      </c>
    </row>
    <row r="76" ht="15" customHeight="1">
      <c r="A76" s="66" t="inlineStr">
        <is>
          <t xml:space="preserve">  Group 17   |   Mathematical Modeling of Loading Effects on a Conveyor</t>
        </is>
      </c>
    </row>
    <row r="77" ht="22" customHeight="1">
      <c r="A77" s="102" t="inlineStr">
        <is>
          <t>H074</t>
        </is>
      </c>
      <c r="B77" s="10" t="inlineStr">
        <is>
          <t>Student</t>
        </is>
      </c>
      <c r="C77" s="11" t="n">
        <v>1</v>
      </c>
      <c r="D77" s="11" t="n">
        <v>4</v>
      </c>
      <c r="E77" s="11" t="n">
        <v>3</v>
      </c>
      <c r="F77" s="11" t="n">
        <v>3</v>
      </c>
      <c r="G77" s="12">
        <f>SUM(C77:F77)</f>
        <v/>
      </c>
      <c r="H77" s="13" t="inlineStr">
        <is>
          <t>Needs significant improvement. Deliverables missing.</t>
        </is>
      </c>
    </row>
    <row r="78" ht="22" customHeight="1">
      <c r="A78" s="105" t="inlineStr">
        <is>
          <t>H075</t>
        </is>
      </c>
      <c r="B78" s="15" t="inlineStr">
        <is>
          <t>Student</t>
        </is>
      </c>
      <c r="C78" s="16" t="n">
        <v>1</v>
      </c>
      <c r="D78" s="16" t="n">
        <v>3</v>
      </c>
      <c r="E78" s="16" t="n">
        <v>4</v>
      </c>
      <c r="F78" s="16" t="n">
        <v>4</v>
      </c>
      <c r="G78" s="17">
        <f>SUM(C78:F78)</f>
        <v/>
      </c>
      <c r="H78" s="18" t="inlineStr">
        <is>
          <t>Needs significant improvement. Deliverables missing.</t>
        </is>
      </c>
    </row>
    <row r="79" ht="40" customHeight="1">
      <c r="A79" s="67" t="inlineStr">
        <is>
          <t>GRADING SCALE (each criterion, out of 4):   4 = Excellent  |  3 = Good  |  2 = Satisfactory  |  1 = Needs Improvement  |  0 = Not demonstrated
  All criteria are INDIVIDUAL — evaluate each student SEPARATELY based on personal performance (C1, C2, C3, C4).</t>
        </is>
      </c>
    </row>
    <row r="80" ht="50" customHeight="1">
      <c r="A80" s="68" t="inlineStr">
        <is>
          <t>CRITERIA DETAIL:   C1 — Technical Clarity  [MORNING — Individual]:  Clear, structured explanation of the system, mathematical model, and simulation results.  |  C2 — Confidence &amp; Q&amp;A Response  [MORNING — Individual]:  Composure, fluency, and quality of answers during the project demo.  |  C3 — Presentation Delivery  [AFTERNOON — Individual]:  Slide quality, verbal delivery, body language, and eye contact during formal presentation.  |  C4 — Overall Communication Impact  [BOTH SESSIONS — Individual]:  Holistic communication impression observed across morning demo and afternoon presentation.</t>
        </is>
      </c>
    </row>
    <row r="81" ht="28" customHeight="1">
      <c r="A81" s="27" t="inlineStr">
        <is>
          <t>Evaluator Signature:   Ms. Parminder Jandoo</t>
        </is>
      </c>
      <c r="B81" s="111" t="n"/>
      <c r="C81" s="28" t="inlineStr">
        <is>
          <t>Date:   25 / 04 / 2026</t>
        </is>
      </c>
      <c r="D81" s="111" t="n"/>
      <c r="E81" s="28" t="inlineStr">
        <is>
          <t>Coordinated by:   Prof. Sunny Nanade  (Course Instructor, NMIMS)</t>
        </is>
      </c>
      <c r="F81" s="112" t="n"/>
      <c r="G81" s="112" t="n"/>
      <c r="H81" s="111" t="n"/>
    </row>
  </sheetData>
  <mergeCells count="28">
    <mergeCell ref="A67:H67"/>
    <mergeCell ref="A59:H59"/>
    <mergeCell ref="A64:H64"/>
    <mergeCell ref="A1:H1"/>
    <mergeCell ref="E81:H81"/>
    <mergeCell ref="A79:H79"/>
    <mergeCell ref="A6:H6"/>
    <mergeCell ref="A80:H80"/>
    <mergeCell ref="A12:H12"/>
    <mergeCell ref="A3:H3"/>
    <mergeCell ref="A21:H21"/>
    <mergeCell ref="A26:H26"/>
    <mergeCell ref="A55:H55"/>
    <mergeCell ref="A2:H2"/>
    <mergeCell ref="A42:H42"/>
    <mergeCell ref="A76:H76"/>
    <mergeCell ref="A47:H47"/>
    <mergeCell ref="A5:H5"/>
    <mergeCell ref="A8:H8"/>
    <mergeCell ref="A17:H17"/>
    <mergeCell ref="A4:H4"/>
    <mergeCell ref="A81:B81"/>
    <mergeCell ref="A38:H38"/>
    <mergeCell ref="C81:D81"/>
    <mergeCell ref="A72:H72"/>
    <mergeCell ref="A52:H52"/>
    <mergeCell ref="A31:H31"/>
    <mergeCell ref="A34:H34"/>
  </mergeCells>
  <pageMargins left="0.4" right="0.4" top="0.5" bottom="0.5" header="0.3" footer="0.3"/>
  <pageSetup orientation="landscape" paperSize="9" fitToHeight="0" fitToWidth="1"/>
  <headerFooter>
    <oddHeader>&amp;CMini Project Exhibition 2026  |  Ms. Parminder Jandoo  |  25 April 2026  |  /16 marks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A3A6B"/>
    <outlinePr summaryBelow="1" summaryRight="1"/>
    <pageSetUpPr fitToPage="1"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35" customWidth="1" min="8" max="8"/>
  </cols>
  <sheetData>
    <row r="1" ht="20" customHeight="1">
      <c r="A1" s="69" t="inlineStr">
        <is>
          <t>MINI PROJECT EXHIBITION 2026  |  Dynamic System Modeling (702MH0C023)  |  B.Tech Mechatronics Engineering, Semester IV, AY 2025-26  |  NMIMS MPSTME</t>
        </is>
      </c>
    </row>
    <row r="2" ht="30" customHeight="1">
      <c r="A2" s="70" t="inlineStr">
        <is>
          <t>EVALUATOR:   Dr. Debasis Dash          ROLE:   HR &amp; Behavioural Science Expert  (MPSTME, NMIMS)</t>
        </is>
      </c>
    </row>
    <row r="3" ht="24" customHeight="1">
      <c r="A3" s="71" t="inlineStr">
        <is>
          <t>Session:  MORNING SESSION  |  09:00 AM to 01:00 PM     Date:  25 April 2026 (Saturday)     Venue:  AR/VR Lab, MPSTME, NMIMS</t>
        </is>
      </c>
    </row>
    <row r="4" ht="20" customHeight="1">
      <c r="A4" s="72" t="inlineStr">
        <is>
          <t>ASSESSMENT FOCUS:   Team collaboration, professional conduct, problem-solving mindset, and individual self-awareness within the SF-PBL group project context.</t>
        </is>
      </c>
    </row>
    <row r="5" ht="18" customHeight="1">
      <c r="A5" s="73" t="inlineStr">
        <is>
          <t>SF-PBL: Engineering education goes beyond equations — assess how well students collaborate, reflect on challenges, and demonstrate professional and ethical behaviour.</t>
        </is>
      </c>
    </row>
    <row r="6" ht="22" customHeight="1">
      <c r="A6" s="74" t="inlineStr">
        <is>
          <t>CRITERIA KEY:   C1: Team Collaboration  |  C2: Problem-Solving Mindset  |  C3: Individual Professionalism  |  C4: Individual Self-Awareness</t>
        </is>
      </c>
    </row>
    <row r="7" ht="34" customHeight="1">
      <c r="A7" s="75" t="inlineStr">
        <is>
          <t>Roll No.</t>
        </is>
      </c>
      <c r="B7" s="75" t="inlineStr">
        <is>
          <t>Student Name</t>
        </is>
      </c>
      <c r="C7" s="75" t="inlineStr">
        <is>
          <t>C1
/4</t>
        </is>
      </c>
      <c r="D7" s="75" t="inlineStr">
        <is>
          <t>C2
/4</t>
        </is>
      </c>
      <c r="E7" s="75" t="inlineStr">
        <is>
          <t>C3
/4</t>
        </is>
      </c>
      <c r="F7" s="75" t="inlineStr">
        <is>
          <t>C4
/4</t>
        </is>
      </c>
      <c r="G7" s="75" t="inlineStr">
        <is>
          <t>Total
/16</t>
        </is>
      </c>
      <c r="H7" s="75" t="inlineStr">
        <is>
          <t>Comments / Feedback</t>
        </is>
      </c>
    </row>
    <row r="8" ht="15" customHeight="1">
      <c r="A8" s="76" t="inlineStr">
        <is>
          <t xml:space="preserve">  Group 1   |   Mathematical Modeling and Dynamic Analysis of a Multi-Terrain Four-Wheeled Robot</t>
        </is>
      </c>
    </row>
    <row r="9" ht="22" customHeight="1">
      <c r="A9" s="102" t="inlineStr">
        <is>
          <t>H079</t>
        </is>
      </c>
      <c r="B9" s="10" t="inlineStr">
        <is>
          <t>Student</t>
        </is>
      </c>
      <c r="C9" s="11" t="n">
        <v>4</v>
      </c>
      <c r="D9" s="11" t="n">
        <v>4</v>
      </c>
      <c r="E9" s="11" t="n">
        <v>3</v>
      </c>
      <c r="F9" s="11" t="n">
        <v>3</v>
      </c>
      <c r="G9" s="12">
        <f>SUM(C9:F9)</f>
        <v/>
      </c>
      <c r="H9" s="13" t="inlineStr">
        <is>
          <t>Good effort, but room for refinement.</t>
        </is>
      </c>
    </row>
    <row r="10" ht="22" customHeight="1">
      <c r="A10" s="102" t="inlineStr">
        <is>
          <t>H082</t>
        </is>
      </c>
      <c r="B10" s="10" t="inlineStr">
        <is>
          <t>Student</t>
        </is>
      </c>
      <c r="C10" s="11" t="n">
        <v>3</v>
      </c>
      <c r="D10" s="11" t="n">
        <v>4</v>
      </c>
      <c r="E10" s="11" t="n">
        <v>3</v>
      </c>
      <c r="F10" s="11" t="n">
        <v>3</v>
      </c>
      <c r="G10" s="12">
        <f>SUM(C10:F10)</f>
        <v/>
      </c>
      <c r="H10" s="13" t="inlineStr">
        <is>
          <t>Good effort, but room for refinement.</t>
        </is>
      </c>
    </row>
    <row r="11" ht="22" customHeight="1">
      <c r="A11" s="105" t="inlineStr">
        <is>
          <t>H084</t>
        </is>
      </c>
      <c r="B11" s="15" t="inlineStr">
        <is>
          <t>Student</t>
        </is>
      </c>
      <c r="C11" s="16" t="n">
        <v>3</v>
      </c>
      <c r="D11" s="16" t="n">
        <v>3</v>
      </c>
      <c r="E11" s="16" t="n">
        <v>3</v>
      </c>
      <c r="F11" s="16" t="n">
        <v>3</v>
      </c>
      <c r="G11" s="17">
        <f>SUM(C11:F11)</f>
        <v/>
      </c>
      <c r="H11" s="18" t="inlineStr">
        <is>
          <t>Good effort, but room for refinement.</t>
        </is>
      </c>
    </row>
    <row r="12" ht="15" customHeight="1">
      <c r="A12" s="76" t="inlineStr">
        <is>
          <t xml:space="preserve">  Group 2   |   Modeling Rocket Landing - Docking</t>
        </is>
      </c>
    </row>
    <row r="13" ht="22" customHeight="1">
      <c r="A13" s="82" t="inlineStr">
        <is>
          <t>H004</t>
        </is>
      </c>
      <c r="B13" s="20" t="inlineStr">
        <is>
          <t>Student</t>
        </is>
      </c>
      <c r="C13" s="11" t="n">
        <v>3</v>
      </c>
      <c r="D13" s="11" t="n">
        <v>4</v>
      </c>
      <c r="E13" s="11" t="n">
        <v>3</v>
      </c>
      <c r="F13" s="11" t="n">
        <v>3</v>
      </c>
      <c r="G13" s="12">
        <f>SUM(C13:F13)</f>
        <v/>
      </c>
      <c r="H13" s="21" t="inlineStr">
        <is>
          <t>Good effort, but room for refinement.</t>
        </is>
      </c>
    </row>
    <row r="14" ht="22" customHeight="1">
      <c r="A14" s="82" t="inlineStr">
        <is>
          <t>H005</t>
        </is>
      </c>
      <c r="B14" s="20" t="inlineStr">
        <is>
          <t>Student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2">
        <f>SUM(C14:F14)</f>
        <v/>
      </c>
      <c r="H14" s="21" t="inlineStr">
        <is>
          <t>Absent throughout.</t>
        </is>
      </c>
    </row>
    <row r="15" ht="22" customHeight="1">
      <c r="A15" s="82" t="inlineStr">
        <is>
          <t>H028</t>
        </is>
      </c>
      <c r="B15" s="20" t="inlineStr">
        <is>
          <t>Student</t>
        </is>
      </c>
      <c r="C15" s="11" t="n">
        <v>3</v>
      </c>
      <c r="D15" s="11" t="n">
        <v>4</v>
      </c>
      <c r="E15" s="11" t="n">
        <v>3</v>
      </c>
      <c r="F15" s="11" t="n">
        <v>4</v>
      </c>
      <c r="G15" s="12">
        <f>SUM(C15:F15)</f>
        <v/>
      </c>
      <c r="H15" s="21" t="inlineStr">
        <is>
          <t>Good effort, but room for refinement.</t>
        </is>
      </c>
    </row>
    <row r="16" ht="22" customHeight="1">
      <c r="A16" s="92" t="inlineStr">
        <is>
          <t>H031</t>
        </is>
      </c>
      <c r="B16" s="23" t="inlineStr">
        <is>
          <t>Student</t>
        </is>
      </c>
      <c r="C16" s="16" t="n">
        <v>3</v>
      </c>
      <c r="D16" s="16" t="n">
        <v>3</v>
      </c>
      <c r="E16" s="16" t="n">
        <v>4</v>
      </c>
      <c r="F16" s="16" t="n">
        <v>4</v>
      </c>
      <c r="G16" s="17">
        <f>SUM(C16:F16)</f>
        <v/>
      </c>
      <c r="H16" s="24" t="inlineStr">
        <is>
          <t>Good effort, but room for refinement.</t>
        </is>
      </c>
    </row>
    <row r="17" ht="15" customHeight="1">
      <c r="A17" s="76" t="inlineStr">
        <is>
          <t xml:space="preserve">  Group 3   |   Dynamic Modeling and Stability Analysis of 2-DOF Leg Mechanism for Quadruped Robot</t>
        </is>
      </c>
    </row>
    <row r="18" ht="22" customHeight="1">
      <c r="A18" s="102" t="inlineStr">
        <is>
          <t>H009</t>
        </is>
      </c>
      <c r="B18" s="10" t="inlineStr">
        <is>
          <t>Student</t>
        </is>
      </c>
      <c r="C18" s="11" t="n">
        <v>1</v>
      </c>
      <c r="D18" s="11" t="n">
        <v>1</v>
      </c>
      <c r="E18" s="11" t="n">
        <v>4</v>
      </c>
      <c r="F18" s="11" t="n">
        <v>4</v>
      </c>
      <c r="G18" s="12">
        <f>SUM(C18:F18)</f>
        <v/>
      </c>
      <c r="H18" s="13" t="inlineStr">
        <is>
          <t>Needs significant improvement. Deliverables missing.</t>
        </is>
      </c>
    </row>
    <row r="19" ht="22" customHeight="1">
      <c r="A19" s="102" t="inlineStr">
        <is>
          <t>H012</t>
        </is>
      </c>
      <c r="B19" s="10" t="inlineStr">
        <is>
          <t>Student</t>
        </is>
      </c>
      <c r="C19" s="11" t="n">
        <v>1</v>
      </c>
      <c r="D19" s="11" t="n">
        <v>1</v>
      </c>
      <c r="E19" s="11" t="n">
        <v>3</v>
      </c>
      <c r="F19" s="11" t="n">
        <v>4</v>
      </c>
      <c r="G19" s="12">
        <f>SUM(C19:F19)</f>
        <v/>
      </c>
      <c r="H19" s="13" t="inlineStr">
        <is>
          <t>Needs significant improvement. Deliverables missing.</t>
        </is>
      </c>
    </row>
    <row r="20" ht="22" customHeight="1">
      <c r="A20" s="105" t="inlineStr">
        <is>
          <t>H033</t>
        </is>
      </c>
      <c r="B20" s="15" t="inlineStr">
        <is>
          <t>Student</t>
        </is>
      </c>
      <c r="C20" s="16" t="n">
        <v>1</v>
      </c>
      <c r="D20" s="16" t="n">
        <v>1</v>
      </c>
      <c r="E20" s="16" t="n">
        <v>4</v>
      </c>
      <c r="F20" s="16" t="n">
        <v>3</v>
      </c>
      <c r="G20" s="17">
        <f>SUM(C20:F20)</f>
        <v/>
      </c>
      <c r="H20" s="18" t="inlineStr">
        <is>
          <t>Needs significant improvement. Deliverables missing.</t>
        </is>
      </c>
    </row>
    <row r="21" ht="15" customHeight="1">
      <c r="A21" s="76" t="inlineStr">
        <is>
          <t xml:space="preserve">  Group 4   |   Critical Skid Velocity Mathematical Modeling</t>
        </is>
      </c>
    </row>
    <row r="22" ht="22" customHeight="1">
      <c r="A22" s="82" t="inlineStr">
        <is>
          <t>H014</t>
        </is>
      </c>
      <c r="B22" s="20" t="inlineStr">
        <is>
          <t>Student</t>
        </is>
      </c>
      <c r="C22" s="11" t="n">
        <v>1</v>
      </c>
      <c r="D22" s="11" t="n">
        <v>1</v>
      </c>
      <c r="E22" s="11" t="n">
        <v>3</v>
      </c>
      <c r="F22" s="11" t="n">
        <v>3</v>
      </c>
      <c r="G22" s="12">
        <f>SUM(C22:F22)</f>
        <v/>
      </c>
      <c r="H22" s="21" t="inlineStr">
        <is>
          <t>Missing key simulation/validation components.</t>
        </is>
      </c>
    </row>
    <row r="23" ht="22" customHeight="1">
      <c r="A23" s="82" t="inlineStr">
        <is>
          <t>H015</t>
        </is>
      </c>
      <c r="B23" s="20" t="inlineStr">
        <is>
          <t>Student</t>
        </is>
      </c>
      <c r="C23" s="11" t="n">
        <v>1</v>
      </c>
      <c r="D23" s="11" t="n">
        <v>1</v>
      </c>
      <c r="E23" s="11" t="n">
        <v>3</v>
      </c>
      <c r="F23" s="11" t="n">
        <v>4</v>
      </c>
      <c r="G23" s="12">
        <f>SUM(C23:F23)</f>
        <v/>
      </c>
      <c r="H23" s="21" t="inlineStr">
        <is>
          <t>Missing key simulation/validation components.</t>
        </is>
      </c>
    </row>
    <row r="24" ht="22" customHeight="1">
      <c r="A24" s="82" t="inlineStr">
        <is>
          <t>H016</t>
        </is>
      </c>
      <c r="B24" s="20" t="inlineStr">
        <is>
          <t>Student</t>
        </is>
      </c>
      <c r="C24" s="11" t="n">
        <v>1</v>
      </c>
      <c r="D24" s="11" t="n">
        <v>1</v>
      </c>
      <c r="E24" s="11" t="n">
        <v>4</v>
      </c>
      <c r="F24" s="11" t="n">
        <v>4</v>
      </c>
      <c r="G24" s="12">
        <f>SUM(C24:F24)</f>
        <v/>
      </c>
      <c r="H24" s="21" t="inlineStr">
        <is>
          <t>Missing key simulation/validation components.</t>
        </is>
      </c>
    </row>
    <row r="25" ht="22" customHeight="1">
      <c r="A25" s="92" t="inlineStr">
        <is>
          <t>H025</t>
        </is>
      </c>
      <c r="B25" s="23" t="inlineStr">
        <is>
          <t>Student</t>
        </is>
      </c>
      <c r="C25" s="16" t="n">
        <v>1</v>
      </c>
      <c r="D25" s="16" t="n">
        <v>1</v>
      </c>
      <c r="E25" s="16" t="n">
        <v>3</v>
      </c>
      <c r="F25" s="16" t="n">
        <v>3</v>
      </c>
      <c r="G25" s="17">
        <f>SUM(C25:F25)</f>
        <v/>
      </c>
      <c r="H25" s="24" t="inlineStr">
        <is>
          <t>Missing key simulation/validation components.</t>
        </is>
      </c>
    </row>
    <row r="26" ht="15" customHeight="1">
      <c r="A26" s="76" t="inlineStr">
        <is>
          <t xml:space="preserve">  Group 5   |   Humanoid Robot - Dynamic Modeling</t>
        </is>
      </c>
    </row>
    <row r="27" ht="22" customHeight="1">
      <c r="A27" s="102" t="inlineStr">
        <is>
          <t>H003</t>
        </is>
      </c>
      <c r="B27" s="10" t="inlineStr">
        <is>
          <t>Student</t>
        </is>
      </c>
      <c r="C27" s="11" t="n">
        <v>3</v>
      </c>
      <c r="D27" s="11" t="n">
        <v>4</v>
      </c>
      <c r="E27" s="11" t="n">
        <v>3</v>
      </c>
      <c r="F27" s="11" t="n">
        <v>3</v>
      </c>
      <c r="G27" s="12">
        <f>SUM(C27:F27)</f>
        <v/>
      </c>
      <c r="H27" s="13" t="inlineStr">
        <is>
          <t>Good effort, but room for refinement.</t>
        </is>
      </c>
    </row>
    <row r="28" ht="22" customHeight="1">
      <c r="A28" s="102" t="inlineStr">
        <is>
          <t>H006</t>
        </is>
      </c>
      <c r="B28" s="10" t="inlineStr">
        <is>
          <t>Student</t>
        </is>
      </c>
      <c r="C28" s="11" t="n">
        <v>3</v>
      </c>
      <c r="D28" s="11" t="n">
        <v>3</v>
      </c>
      <c r="E28" s="11" t="n">
        <v>4</v>
      </c>
      <c r="F28" s="11" t="n">
        <v>4</v>
      </c>
      <c r="G28" s="12">
        <f>SUM(C28:F28)</f>
        <v/>
      </c>
      <c r="H28" s="13" t="inlineStr">
        <is>
          <t>Good effort, but room for refinement.</t>
        </is>
      </c>
    </row>
    <row r="29" ht="22" customHeight="1">
      <c r="A29" s="102" t="inlineStr">
        <is>
          <t>H024</t>
        </is>
      </c>
      <c r="B29" s="10" t="inlineStr">
        <is>
          <t>Student</t>
        </is>
      </c>
      <c r="C29" s="11" t="n">
        <v>4</v>
      </c>
      <c r="D29" s="11" t="n">
        <v>4</v>
      </c>
      <c r="E29" s="11" t="n">
        <v>4</v>
      </c>
      <c r="F29" s="11" t="n">
        <v>4</v>
      </c>
      <c r="G29" s="12">
        <f>SUM(C29:F29)</f>
        <v/>
      </c>
      <c r="H29" s="13" t="inlineStr">
        <is>
          <t>Excellent work! Clear and well-presented.</t>
        </is>
      </c>
    </row>
    <row r="30" ht="22" customHeight="1">
      <c r="A30" s="105" t="inlineStr">
        <is>
          <t>H029</t>
        </is>
      </c>
      <c r="B30" s="15" t="inlineStr">
        <is>
          <t>Student</t>
        </is>
      </c>
      <c r="C30" s="16" t="n">
        <v>3</v>
      </c>
      <c r="D30" s="16" t="n">
        <v>3</v>
      </c>
      <c r="E30" s="16" t="n">
        <v>4</v>
      </c>
      <c r="F30" s="16" t="n">
        <v>4</v>
      </c>
      <c r="G30" s="17">
        <f>SUM(C30:F30)</f>
        <v/>
      </c>
      <c r="H30" s="18" t="inlineStr">
        <is>
          <t>Good effort, but room for refinement.</t>
        </is>
      </c>
    </row>
    <row r="31" ht="15" customHeight="1">
      <c r="A31" s="76" t="inlineStr">
        <is>
          <t xml:space="preserve">  Group 6   |   Dynamic Modeling of Hydrogen Fuel Cell-Battery Hybrid Powertrain for Electric UAV</t>
        </is>
      </c>
    </row>
    <row r="32" ht="22" customHeight="1">
      <c r="A32" s="82" t="inlineStr">
        <is>
          <t>H001</t>
        </is>
      </c>
      <c r="B32" s="20" t="inlineStr">
        <is>
          <t>Student</t>
        </is>
      </c>
      <c r="C32" s="11" t="n">
        <v>1</v>
      </c>
      <c r="D32" s="11" t="n">
        <v>1</v>
      </c>
      <c r="E32" s="11" t="n">
        <v>4</v>
      </c>
      <c r="F32" s="11" t="n">
        <v>4</v>
      </c>
      <c r="G32" s="12">
        <f>SUM(C32:F32)</f>
        <v/>
      </c>
      <c r="H32" s="21" t="inlineStr">
        <is>
          <t>Missing key simulation/validation components.</t>
        </is>
      </c>
    </row>
    <row r="33" ht="22" customHeight="1">
      <c r="A33" s="92" t="inlineStr">
        <is>
          <t>H002</t>
        </is>
      </c>
      <c r="B33" s="23" t="inlineStr">
        <is>
          <t>Student</t>
        </is>
      </c>
      <c r="C33" s="16" t="n">
        <v>1</v>
      </c>
      <c r="D33" s="16" t="n">
        <v>1</v>
      </c>
      <c r="E33" s="16" t="n">
        <v>4</v>
      </c>
      <c r="F33" s="16" t="n">
        <v>3</v>
      </c>
      <c r="G33" s="17">
        <f>SUM(C33:F33)</f>
        <v/>
      </c>
      <c r="H33" s="24" t="inlineStr">
        <is>
          <t>Missing key simulation/validation components.</t>
        </is>
      </c>
    </row>
    <row r="34" ht="15" customHeight="1">
      <c r="A34" s="76" t="inlineStr">
        <is>
          <t xml:space="preserve">  Group 7   |   Hexapod Robot - Mathematical Modeling</t>
        </is>
      </c>
    </row>
    <row r="35" ht="22" customHeight="1">
      <c r="A35" s="102" t="inlineStr">
        <is>
          <t>H021</t>
        </is>
      </c>
      <c r="B35" s="10" t="inlineStr">
        <is>
          <t>Student</t>
        </is>
      </c>
      <c r="C35" s="11" t="n">
        <v>4</v>
      </c>
      <c r="D35" s="11" t="n">
        <v>4</v>
      </c>
      <c r="E35" s="11" t="n">
        <v>4</v>
      </c>
      <c r="F35" s="11" t="n">
        <v>4</v>
      </c>
      <c r="G35" s="12">
        <f>SUM(C35:F35)</f>
        <v/>
      </c>
      <c r="H35" s="13" t="inlineStr">
        <is>
          <t>Excellent work! Clear and well-presented.</t>
        </is>
      </c>
    </row>
    <row r="36" ht="22" customHeight="1">
      <c r="A36" s="102" t="inlineStr">
        <is>
          <t>H022</t>
        </is>
      </c>
      <c r="B36" s="10" t="inlineStr">
        <is>
          <t>Student</t>
        </is>
      </c>
      <c r="C36" s="11" t="n">
        <v>3</v>
      </c>
      <c r="D36" s="11" t="n">
        <v>4</v>
      </c>
      <c r="E36" s="11" t="n">
        <v>4</v>
      </c>
      <c r="F36" s="11" t="n">
        <v>4</v>
      </c>
      <c r="G36" s="12">
        <f>SUM(C36:F36)</f>
        <v/>
      </c>
      <c r="H36" s="13" t="inlineStr">
        <is>
          <t>Good effort, but room for refinement.</t>
        </is>
      </c>
    </row>
    <row r="37" ht="22" customHeight="1">
      <c r="A37" s="105" t="inlineStr">
        <is>
          <t>H023</t>
        </is>
      </c>
      <c r="B37" s="15" t="inlineStr">
        <is>
          <t>Student</t>
        </is>
      </c>
      <c r="C37" s="16" t="n">
        <v>4</v>
      </c>
      <c r="D37" s="16" t="n">
        <v>3</v>
      </c>
      <c r="E37" s="16" t="n">
        <v>3</v>
      </c>
      <c r="F37" s="16" t="n">
        <v>4</v>
      </c>
      <c r="G37" s="17">
        <f>SUM(C37:F37)</f>
        <v/>
      </c>
      <c r="H37" s="18" t="inlineStr">
        <is>
          <t>Good effort, but room for refinement.</t>
        </is>
      </c>
    </row>
    <row r="38" ht="15" customHeight="1">
      <c r="A38" s="76" t="inlineStr">
        <is>
          <t xml:space="preserve">  Group 8   |   Mathematical Modeling and Dynamics of Ball Balancing Robot using 6-DOF Stewart Mechanism</t>
        </is>
      </c>
    </row>
    <row r="39" ht="22" customHeight="1">
      <c r="A39" s="82" t="inlineStr">
        <is>
          <t>H059</t>
        </is>
      </c>
      <c r="B39" s="20" t="inlineStr">
        <is>
          <t>Student</t>
        </is>
      </c>
      <c r="C39" s="11" t="n">
        <v>3</v>
      </c>
      <c r="D39" s="11" t="n">
        <v>3</v>
      </c>
      <c r="E39" s="11" t="n">
        <v>3</v>
      </c>
      <c r="F39" s="11" t="n">
        <v>4</v>
      </c>
      <c r="G39" s="12">
        <f>SUM(C39:F39)</f>
        <v/>
      </c>
      <c r="H39" s="21" t="inlineStr">
        <is>
          <t>Good effort, but room for refinement.</t>
        </is>
      </c>
    </row>
    <row r="40" ht="22" customHeight="1">
      <c r="A40" s="82" t="inlineStr">
        <is>
          <t>H060</t>
        </is>
      </c>
      <c r="B40" s="20" t="inlineStr">
        <is>
          <t>Student</t>
        </is>
      </c>
      <c r="C40" s="11" t="n">
        <v>3</v>
      </c>
      <c r="D40" s="11" t="n">
        <v>4</v>
      </c>
      <c r="E40" s="11" t="n">
        <v>4</v>
      </c>
      <c r="F40" s="11" t="n">
        <v>3</v>
      </c>
      <c r="G40" s="12">
        <f>SUM(C40:F40)</f>
        <v/>
      </c>
      <c r="H40" s="21" t="inlineStr">
        <is>
          <t>Good effort, but room for refinement.</t>
        </is>
      </c>
    </row>
    <row r="41" ht="22" customHeight="1">
      <c r="A41" s="92" t="inlineStr">
        <is>
          <t>H062</t>
        </is>
      </c>
      <c r="B41" s="23" t="inlineStr">
        <is>
          <t>Student</t>
        </is>
      </c>
      <c r="C41" s="16" t="n">
        <v>3</v>
      </c>
      <c r="D41" s="16" t="n">
        <v>4</v>
      </c>
      <c r="E41" s="16" t="n">
        <v>3</v>
      </c>
      <c r="F41" s="16" t="n">
        <v>4</v>
      </c>
      <c r="G41" s="17">
        <f>SUM(C41:F41)</f>
        <v/>
      </c>
      <c r="H41" s="24" t="inlineStr">
        <is>
          <t>Good effort, but room for refinement.</t>
        </is>
      </c>
    </row>
    <row r="42" ht="15" customHeight="1">
      <c r="A42" s="76" t="inlineStr">
        <is>
          <t xml:space="preserve">  Group 9   |   Dynamic Modelling of Sensor-Integrated Remotely Operated Underwater Vehicle (ROV)</t>
        </is>
      </c>
    </row>
    <row r="43" ht="22" customHeight="1">
      <c r="A43" s="102" t="inlineStr">
        <is>
          <t>H035</t>
        </is>
      </c>
      <c r="B43" s="10" t="inlineStr">
        <is>
          <t>Student</t>
        </is>
      </c>
      <c r="C43" s="11" t="n">
        <v>3</v>
      </c>
      <c r="D43" s="11" t="n">
        <v>3</v>
      </c>
      <c r="E43" s="11" t="n">
        <v>3</v>
      </c>
      <c r="F43" s="11" t="n">
        <v>3</v>
      </c>
      <c r="G43" s="12">
        <f>SUM(C43:F43)</f>
        <v/>
      </c>
      <c r="H43" s="13" t="inlineStr">
        <is>
          <t>Good effort, but room for refinement.</t>
        </is>
      </c>
    </row>
    <row r="44" ht="22" customHeight="1">
      <c r="A44" s="102" t="inlineStr">
        <is>
          <t>H040</t>
        </is>
      </c>
      <c r="B44" s="10" t="inlineStr">
        <is>
          <t>Student</t>
        </is>
      </c>
      <c r="C44" s="11" t="n">
        <v>3</v>
      </c>
      <c r="D44" s="11" t="n">
        <v>3</v>
      </c>
      <c r="E44" s="11" t="n">
        <v>3</v>
      </c>
      <c r="F44" s="11" t="n">
        <v>4</v>
      </c>
      <c r="G44" s="12">
        <f>SUM(C44:F44)</f>
        <v/>
      </c>
      <c r="H44" s="13" t="inlineStr">
        <is>
          <t>Good effort, but room for refinement.</t>
        </is>
      </c>
    </row>
    <row r="45" ht="22" customHeight="1">
      <c r="A45" s="102" t="inlineStr">
        <is>
          <t>H046</t>
        </is>
      </c>
      <c r="B45" s="10" t="inlineStr">
        <is>
          <t>Student</t>
        </is>
      </c>
      <c r="C45" s="11" t="n">
        <v>3</v>
      </c>
      <c r="D45" s="11" t="n">
        <v>4</v>
      </c>
      <c r="E45" s="11" t="n">
        <v>3</v>
      </c>
      <c r="F45" s="11" t="n">
        <v>4</v>
      </c>
      <c r="G45" s="12">
        <f>SUM(C45:F45)</f>
        <v/>
      </c>
      <c r="H45" s="13" t="inlineStr">
        <is>
          <t>Good effort, but room for refinement.</t>
        </is>
      </c>
    </row>
    <row r="46" ht="22" customHeight="1">
      <c r="A46" s="105" t="inlineStr">
        <is>
          <t>H047</t>
        </is>
      </c>
      <c r="B46" s="15" t="inlineStr">
        <is>
          <t>Student</t>
        </is>
      </c>
      <c r="C46" s="16" t="n">
        <v>3</v>
      </c>
      <c r="D46" s="16" t="n">
        <v>4</v>
      </c>
      <c r="E46" s="16" t="n">
        <v>4</v>
      </c>
      <c r="F46" s="16" t="n">
        <v>4</v>
      </c>
      <c r="G46" s="17">
        <f>SUM(C46:F46)</f>
        <v/>
      </c>
      <c r="H46" s="18" t="inlineStr">
        <is>
          <t>Good effort, but room for refinement.</t>
        </is>
      </c>
    </row>
    <row r="47" ht="15" customHeight="1">
      <c r="A47" s="76" t="inlineStr">
        <is>
          <t xml:space="preserve">  Group 10   |   Mathematical Modeling of Motors</t>
        </is>
      </c>
    </row>
    <row r="48" ht="22" customHeight="1">
      <c r="A48" s="82" t="inlineStr">
        <is>
          <t>H036</t>
        </is>
      </c>
      <c r="B48" s="20" t="inlineStr">
        <is>
          <t>Student</t>
        </is>
      </c>
      <c r="C48" s="11" t="n">
        <v>3</v>
      </c>
      <c r="D48" s="11" t="n">
        <v>3</v>
      </c>
      <c r="E48" s="11" t="n">
        <v>3</v>
      </c>
      <c r="F48" s="11" t="n">
        <v>4</v>
      </c>
      <c r="G48" s="12">
        <f>SUM(C48:F48)</f>
        <v/>
      </c>
      <c r="H48" s="21" t="inlineStr">
        <is>
          <t>Good effort, but room for refinement.</t>
        </is>
      </c>
    </row>
    <row r="49" ht="22" customHeight="1">
      <c r="A49" s="82" t="inlineStr">
        <is>
          <t>H050</t>
        </is>
      </c>
      <c r="B49" s="20" t="inlineStr">
        <is>
          <t>Student</t>
        </is>
      </c>
      <c r="C49" s="11" t="n">
        <v>3</v>
      </c>
      <c r="D49" s="11" t="n">
        <v>4</v>
      </c>
      <c r="E49" s="11" t="n">
        <v>4</v>
      </c>
      <c r="F49" s="11" t="n">
        <v>4</v>
      </c>
      <c r="G49" s="12">
        <f>SUM(C49:F49)</f>
        <v/>
      </c>
      <c r="H49" s="21" t="inlineStr">
        <is>
          <t>Good effort, but room for refinement.</t>
        </is>
      </c>
    </row>
    <row r="50" ht="22" customHeight="1">
      <c r="A50" s="82" t="inlineStr">
        <is>
          <t>H051</t>
        </is>
      </c>
      <c r="B50" s="20" t="inlineStr">
        <is>
          <t>Student</t>
        </is>
      </c>
      <c r="C50" s="11" t="n">
        <v>4</v>
      </c>
      <c r="D50" s="11" t="n">
        <v>4</v>
      </c>
      <c r="E50" s="11" t="n">
        <v>4</v>
      </c>
      <c r="F50" s="11" t="n">
        <v>3</v>
      </c>
      <c r="G50" s="12">
        <f>SUM(C50:F50)</f>
        <v/>
      </c>
      <c r="H50" s="21" t="inlineStr">
        <is>
          <t>Excellent work! Clear and well-presented.</t>
        </is>
      </c>
    </row>
    <row r="51" ht="22" customHeight="1">
      <c r="A51" s="92" t="inlineStr">
        <is>
          <t>H052</t>
        </is>
      </c>
      <c r="B51" s="23" t="inlineStr">
        <is>
          <t>Student</t>
        </is>
      </c>
      <c r="C51" s="16" t="n">
        <v>3</v>
      </c>
      <c r="D51" s="16" t="n">
        <v>4</v>
      </c>
      <c r="E51" s="16" t="n">
        <v>3</v>
      </c>
      <c r="F51" s="16" t="n">
        <v>4</v>
      </c>
      <c r="G51" s="17">
        <f>SUM(C51:F51)</f>
        <v/>
      </c>
      <c r="H51" s="24" t="inlineStr">
        <is>
          <t>Good effort, but room for refinement.</t>
        </is>
      </c>
    </row>
    <row r="52" ht="15" customHeight="1">
      <c r="A52" s="76" t="inlineStr">
        <is>
          <t xml:space="preserve">  Group 11   |   Digital Twin (DT) of Motors</t>
        </is>
      </c>
    </row>
    <row r="53" ht="22" customHeight="1">
      <c r="A53" s="102" t="inlineStr">
        <is>
          <t>H020</t>
        </is>
      </c>
      <c r="B53" s="10" t="inlineStr">
        <is>
          <t>Student</t>
        </is>
      </c>
      <c r="C53" s="11" t="n">
        <v>1</v>
      </c>
      <c r="D53" s="11" t="n">
        <v>1</v>
      </c>
      <c r="E53" s="11" t="n">
        <v>3</v>
      </c>
      <c r="F53" s="11" t="n">
        <v>4</v>
      </c>
      <c r="G53" s="12">
        <f>SUM(C53:F53)</f>
        <v/>
      </c>
      <c r="H53" s="13" t="inlineStr">
        <is>
          <t>Needs significant improvement. Deliverables missing.</t>
        </is>
      </c>
    </row>
    <row r="54" ht="22" customHeight="1">
      <c r="A54" s="105" t="inlineStr">
        <is>
          <t>H096</t>
        </is>
      </c>
      <c r="B54" s="15" t="inlineStr">
        <is>
          <t>Student</t>
        </is>
      </c>
      <c r="C54" s="16" t="n">
        <v>1</v>
      </c>
      <c r="D54" s="16" t="n">
        <v>1</v>
      </c>
      <c r="E54" s="16" t="n">
        <v>3</v>
      </c>
      <c r="F54" s="16" t="n">
        <v>3</v>
      </c>
      <c r="G54" s="17">
        <f>SUM(C54:F54)</f>
        <v/>
      </c>
      <c r="H54" s="18" t="inlineStr">
        <is>
          <t>Needs significant improvement. Deliverables missing.</t>
        </is>
      </c>
    </row>
    <row r="55" ht="15" customHeight="1">
      <c r="A55" s="76" t="inlineStr">
        <is>
          <t xml:space="preserve">  Group 12   |   Mathematical Modeling for Robotic Gripper Mechanism</t>
        </is>
      </c>
    </row>
    <row r="56" ht="22" customHeight="1">
      <c r="A56" s="82" t="inlineStr">
        <is>
          <t>H076</t>
        </is>
      </c>
      <c r="B56" s="20" t="inlineStr">
        <is>
          <t>Student</t>
        </is>
      </c>
      <c r="C56" s="11" t="n">
        <v>3</v>
      </c>
      <c r="D56" s="11" t="n">
        <v>3</v>
      </c>
      <c r="E56" s="11" t="n">
        <v>4</v>
      </c>
      <c r="F56" s="11" t="n">
        <v>4</v>
      </c>
      <c r="G56" s="12">
        <f>SUM(C56:F56)</f>
        <v/>
      </c>
      <c r="H56" s="21" t="inlineStr">
        <is>
          <t>Good effort, but room for refinement.</t>
        </is>
      </c>
    </row>
    <row r="57" ht="22" customHeight="1">
      <c r="A57" s="82" t="inlineStr">
        <is>
          <t>H078</t>
        </is>
      </c>
      <c r="B57" s="20" t="inlineStr">
        <is>
          <t>Student</t>
        </is>
      </c>
      <c r="C57" s="11" t="n">
        <v>4</v>
      </c>
      <c r="D57" s="11" t="n">
        <v>3</v>
      </c>
      <c r="E57" s="11" t="n">
        <v>4</v>
      </c>
      <c r="F57" s="11" t="n">
        <v>4</v>
      </c>
      <c r="G57" s="12">
        <f>SUM(C57:F57)</f>
        <v/>
      </c>
      <c r="H57" s="21" t="inlineStr">
        <is>
          <t>Good effort, but room for refinement.</t>
        </is>
      </c>
    </row>
    <row r="58" ht="22" customHeight="1">
      <c r="A58" s="92" t="inlineStr">
        <is>
          <t>H088</t>
        </is>
      </c>
      <c r="B58" s="23" t="inlineStr">
        <is>
          <t>Student</t>
        </is>
      </c>
      <c r="C58" s="16" t="n">
        <v>4</v>
      </c>
      <c r="D58" s="16" t="n">
        <v>3</v>
      </c>
      <c r="E58" s="16" t="n">
        <v>3</v>
      </c>
      <c r="F58" s="16" t="n">
        <v>4</v>
      </c>
      <c r="G58" s="17">
        <f>SUM(C58:F58)</f>
        <v/>
      </c>
      <c r="H58" s="24" t="inlineStr">
        <is>
          <t>Good effort, but room for refinement.</t>
        </is>
      </c>
    </row>
    <row r="59" ht="15" customHeight="1">
      <c r="A59" s="76" t="inlineStr">
        <is>
          <t xml:space="preserve">  Group 13   |   Modeling Energy Loss in a Shock Absorber</t>
        </is>
      </c>
    </row>
    <row r="60" ht="22" customHeight="1">
      <c r="A60" s="102" t="inlineStr">
        <is>
          <t>H068</t>
        </is>
      </c>
      <c r="B60" s="10" t="inlineStr">
        <is>
          <t>Student</t>
        </is>
      </c>
      <c r="C60" s="11" t="n">
        <v>3</v>
      </c>
      <c r="D60" s="11" t="n">
        <v>4</v>
      </c>
      <c r="E60" s="11" t="n">
        <v>4</v>
      </c>
      <c r="F60" s="11" t="n">
        <v>4</v>
      </c>
      <c r="G60" s="12">
        <f>SUM(C60:F60)</f>
        <v/>
      </c>
      <c r="H60" s="13" t="inlineStr">
        <is>
          <t>Good effort, but room for refinement.</t>
        </is>
      </c>
    </row>
    <row r="61" ht="22" customHeight="1">
      <c r="A61" s="102" t="inlineStr">
        <is>
          <t>H071</t>
        </is>
      </c>
      <c r="B61" s="10" t="inlineStr">
        <is>
          <t>Student</t>
        </is>
      </c>
      <c r="C61" s="11" t="n">
        <v>4</v>
      </c>
      <c r="D61" s="11" t="n">
        <v>3</v>
      </c>
      <c r="E61" s="11" t="n">
        <v>4</v>
      </c>
      <c r="F61" s="11" t="n">
        <v>4</v>
      </c>
      <c r="G61" s="12">
        <f>SUM(C61:F61)</f>
        <v/>
      </c>
      <c r="H61" s="13" t="inlineStr">
        <is>
          <t>Good effort, but room for refinement.</t>
        </is>
      </c>
    </row>
    <row r="62" ht="22" customHeight="1">
      <c r="A62" s="102" t="inlineStr">
        <is>
          <t>H086</t>
        </is>
      </c>
      <c r="B62" s="10" t="inlineStr">
        <is>
          <t>Student</t>
        </is>
      </c>
      <c r="C62" s="11" t="n">
        <v>4</v>
      </c>
      <c r="D62" s="11" t="n">
        <v>4</v>
      </c>
      <c r="E62" s="11" t="n">
        <v>4</v>
      </c>
      <c r="F62" s="11" t="n">
        <v>3</v>
      </c>
      <c r="G62" s="12">
        <f>SUM(C62:F62)</f>
        <v/>
      </c>
      <c r="H62" s="13" t="inlineStr">
        <is>
          <t>Excellent work! Clear and well-presented.</t>
        </is>
      </c>
    </row>
    <row r="63" ht="22" customHeight="1">
      <c r="A63" s="105" t="inlineStr">
        <is>
          <t>H097</t>
        </is>
      </c>
      <c r="B63" s="15" t="inlineStr">
        <is>
          <t>Student</t>
        </is>
      </c>
      <c r="C63" s="16" t="n">
        <v>4</v>
      </c>
      <c r="D63" s="16" t="n">
        <v>3</v>
      </c>
      <c r="E63" s="16" t="n">
        <v>4</v>
      </c>
      <c r="F63" s="16" t="n">
        <v>4</v>
      </c>
      <c r="G63" s="17">
        <f>SUM(C63:F63)</f>
        <v/>
      </c>
      <c r="H63" s="18" t="inlineStr">
        <is>
          <t>Good effort, but room for refinement.</t>
        </is>
      </c>
    </row>
    <row r="64" ht="15" customHeight="1">
      <c r="A64" s="76" t="inlineStr">
        <is>
          <t xml:space="preserve">  Group 14   |   Self-Balancing Robot with 2-DOF</t>
        </is>
      </c>
    </row>
    <row r="65" ht="22" customHeight="1">
      <c r="A65" s="82" t="inlineStr">
        <is>
          <t>H093</t>
        </is>
      </c>
      <c r="B65" s="20" t="inlineStr">
        <is>
          <t>Student</t>
        </is>
      </c>
      <c r="C65" s="11" t="n">
        <v>4</v>
      </c>
      <c r="D65" s="11" t="n">
        <v>4</v>
      </c>
      <c r="E65" s="11" t="n">
        <v>3</v>
      </c>
      <c r="F65" s="11" t="n">
        <v>4</v>
      </c>
      <c r="G65" s="12">
        <f>SUM(C65:F65)</f>
        <v/>
      </c>
      <c r="H65" s="21" t="inlineStr">
        <is>
          <t>Good effort, but room for refinement.</t>
        </is>
      </c>
    </row>
    <row r="66" ht="22" customHeight="1">
      <c r="A66" s="92" t="inlineStr">
        <is>
          <t>H095</t>
        </is>
      </c>
      <c r="B66" s="23" t="inlineStr">
        <is>
          <t>Student</t>
        </is>
      </c>
      <c r="C66" s="16" t="n">
        <v>4</v>
      </c>
      <c r="D66" s="16" t="n">
        <v>4</v>
      </c>
      <c r="E66" s="16" t="n">
        <v>3</v>
      </c>
      <c r="F66" s="16" t="n">
        <v>4</v>
      </c>
      <c r="G66" s="17">
        <f>SUM(C66:F66)</f>
        <v/>
      </c>
      <c r="H66" s="24" t="inlineStr">
        <is>
          <t>Good effort, but room for refinement.</t>
        </is>
      </c>
    </row>
    <row r="67" ht="15" customHeight="1">
      <c r="A67" s="76" t="inlineStr">
        <is>
          <t xml:space="preserve">  Group 15   |   Automated EoT (Electric Overhead Travel) Crane</t>
        </is>
      </c>
    </row>
    <row r="68" ht="22" customHeight="1">
      <c r="A68" s="102" t="inlineStr">
        <is>
          <t>H066</t>
        </is>
      </c>
      <c r="B68" s="10" t="inlineStr">
        <is>
          <t>Student</t>
        </is>
      </c>
      <c r="C68" s="11" t="n">
        <v>3</v>
      </c>
      <c r="D68" s="11" t="n">
        <v>3</v>
      </c>
      <c r="E68" s="11" t="n">
        <v>4</v>
      </c>
      <c r="F68" s="11" t="n">
        <v>3</v>
      </c>
      <c r="G68" s="12">
        <f>SUM(C68:F68)</f>
        <v/>
      </c>
      <c r="H68" s="13" t="inlineStr">
        <is>
          <t>Good effort, but room for refinement.</t>
        </is>
      </c>
    </row>
    <row r="69" ht="22" customHeight="1">
      <c r="A69" s="102" t="inlineStr">
        <is>
          <t>H067</t>
        </is>
      </c>
      <c r="B69" s="10" t="inlineStr">
        <is>
          <t>Student</t>
        </is>
      </c>
      <c r="C69" s="11" t="n">
        <v>4</v>
      </c>
      <c r="D69" s="11" t="n">
        <v>4</v>
      </c>
      <c r="E69" s="11" t="n">
        <v>3</v>
      </c>
      <c r="F69" s="11" t="n">
        <v>4</v>
      </c>
      <c r="G69" s="12">
        <f>SUM(C69:F69)</f>
        <v/>
      </c>
      <c r="H69" s="13" t="inlineStr">
        <is>
          <t>Good effort, but room for refinement.</t>
        </is>
      </c>
    </row>
    <row r="70" ht="22" customHeight="1">
      <c r="A70" s="102" t="inlineStr">
        <is>
          <t>H090</t>
        </is>
      </c>
      <c r="B70" s="10" t="inlineStr">
        <is>
          <t>Student</t>
        </is>
      </c>
      <c r="C70" s="11" t="n">
        <v>4</v>
      </c>
      <c r="D70" s="11" t="n">
        <v>4</v>
      </c>
      <c r="E70" s="11" t="n">
        <v>3</v>
      </c>
      <c r="F70" s="11" t="n">
        <v>4</v>
      </c>
      <c r="G70" s="12">
        <f>SUM(C70:F70)</f>
        <v/>
      </c>
      <c r="H70" s="13" t="inlineStr">
        <is>
          <t>Good effort, but room for refinement.</t>
        </is>
      </c>
    </row>
    <row r="71" ht="22" customHeight="1">
      <c r="A71" s="105" t="inlineStr">
        <is>
          <t>H094</t>
        </is>
      </c>
      <c r="B71" s="15" t="inlineStr">
        <is>
          <t>Student</t>
        </is>
      </c>
      <c r="C71" s="16" t="n">
        <v>3</v>
      </c>
      <c r="D71" s="16" t="n">
        <v>4</v>
      </c>
      <c r="E71" s="16" t="n">
        <v>3</v>
      </c>
      <c r="F71" s="16" t="n">
        <v>3</v>
      </c>
      <c r="G71" s="17">
        <f>SUM(C71:F71)</f>
        <v/>
      </c>
      <c r="H71" s="18" t="inlineStr">
        <is>
          <t>Good effort, but room for refinement.</t>
        </is>
      </c>
    </row>
    <row r="72" ht="15" customHeight="1">
      <c r="A72" s="76" t="inlineStr">
        <is>
          <t xml:space="preserve">  Group 16   |   Mathematical Operation of Pick-and-Place Autonomous Rover</t>
        </is>
      </c>
    </row>
    <row r="73" ht="22" customHeight="1">
      <c r="A73" s="82" t="inlineStr">
        <is>
          <t>H034</t>
        </is>
      </c>
      <c r="B73" s="20" t="inlineStr">
        <is>
          <t>Student</t>
        </is>
      </c>
      <c r="C73" s="11" t="n">
        <v>4</v>
      </c>
      <c r="D73" s="11" t="n">
        <v>3</v>
      </c>
      <c r="E73" s="11" t="n">
        <v>4</v>
      </c>
      <c r="F73" s="11" t="n">
        <v>4</v>
      </c>
      <c r="G73" s="12">
        <f>SUM(C73:F73)</f>
        <v/>
      </c>
      <c r="H73" s="21" t="inlineStr">
        <is>
          <t>Good effort, but room for refinement.</t>
        </is>
      </c>
    </row>
    <row r="74" ht="22" customHeight="1">
      <c r="A74" s="82" t="inlineStr">
        <is>
          <t>H041</t>
        </is>
      </c>
      <c r="B74" s="20" t="inlineStr">
        <is>
          <t>Student</t>
        </is>
      </c>
      <c r="C74" s="11" t="n">
        <v>4</v>
      </c>
      <c r="D74" s="11" t="n">
        <v>3</v>
      </c>
      <c r="E74" s="11" t="n">
        <v>3</v>
      </c>
      <c r="F74" s="11" t="n">
        <v>4</v>
      </c>
      <c r="G74" s="12">
        <f>SUM(C74:F74)</f>
        <v/>
      </c>
      <c r="H74" s="21" t="inlineStr">
        <is>
          <t>Good effort, but room for refinement.</t>
        </is>
      </c>
    </row>
    <row r="75" ht="22" customHeight="1">
      <c r="A75" s="92" t="inlineStr">
        <is>
          <t>H056</t>
        </is>
      </c>
      <c r="B75" s="23" t="inlineStr">
        <is>
          <t>Student</t>
        </is>
      </c>
      <c r="C75" s="16" t="n">
        <v>4</v>
      </c>
      <c r="D75" s="16" t="n">
        <v>3</v>
      </c>
      <c r="E75" s="16" t="n">
        <v>3</v>
      </c>
      <c r="F75" s="16" t="n">
        <v>3</v>
      </c>
      <c r="G75" s="17">
        <f>SUM(C75:F75)</f>
        <v/>
      </c>
      <c r="H75" s="24" t="inlineStr">
        <is>
          <t>Good effort, but room for refinement.</t>
        </is>
      </c>
    </row>
    <row r="76" ht="15" customHeight="1">
      <c r="A76" s="76" t="inlineStr">
        <is>
          <t xml:space="preserve">  Group 17   |   Mathematical Modeling of Loading Effects on a Conveyor</t>
        </is>
      </c>
    </row>
    <row r="77" ht="22" customHeight="1">
      <c r="A77" s="102" t="inlineStr">
        <is>
          <t>H074</t>
        </is>
      </c>
      <c r="B77" s="10" t="inlineStr">
        <is>
          <t>Student</t>
        </is>
      </c>
      <c r="C77" s="11" t="n">
        <v>3</v>
      </c>
      <c r="D77" s="11" t="n">
        <v>3</v>
      </c>
      <c r="E77" s="11" t="n">
        <v>4</v>
      </c>
      <c r="F77" s="11" t="n">
        <v>3</v>
      </c>
      <c r="G77" s="12">
        <f>SUM(C77:F77)</f>
        <v/>
      </c>
      <c r="H77" s="13" t="inlineStr">
        <is>
          <t>Good effort, but room for refinement.</t>
        </is>
      </c>
    </row>
    <row r="78" ht="22" customHeight="1">
      <c r="A78" s="105" t="inlineStr">
        <is>
          <t>H075</t>
        </is>
      </c>
      <c r="B78" s="15" t="inlineStr">
        <is>
          <t>Student</t>
        </is>
      </c>
      <c r="C78" s="16" t="n">
        <v>3</v>
      </c>
      <c r="D78" s="16" t="n">
        <v>3</v>
      </c>
      <c r="E78" s="16" t="n">
        <v>3</v>
      </c>
      <c r="F78" s="16" t="n">
        <v>4</v>
      </c>
      <c r="G78" s="17">
        <f>SUM(C78:F78)</f>
        <v/>
      </c>
      <c r="H78" s="18" t="inlineStr">
        <is>
          <t>Good effort, but room for refinement.</t>
        </is>
      </c>
    </row>
    <row r="79" ht="40" customHeight="1">
      <c r="A79" s="77" t="inlineStr">
        <is>
          <t>GRADING SCALE (each criterion, out of 4):   4 = Excellent  |  3 = Good  |  2 = Satisfactory  |  1 = Needs Improvement  |  0 = Not demonstrated
  C1, C2  [GROUP]: enter the SAME mark for all students in the group.     C3, C4  [INDIVIDUAL]: evaluate each student SEPARATELY.</t>
        </is>
      </c>
    </row>
    <row r="80" ht="50" customHeight="1">
      <c r="A80" s="78" t="inlineStr">
        <is>
          <t>CRITERIA DETAIL:   C1 — Team Collaboration  [GROUP]:  Team demonstrates fair work distribution and effective collaboration throughout the project.  |  C2 — Problem-Solving Mindset  [GROUP]:  Team approaches challenges systematically, with persistence and reflective thinking.  |  C3 — Individual Professionalism  [INDIVIDUAL]:  This student demonstrates professional conduct, ethical awareness, and engineering responsibility.  |  C4 — Individual Self-Awareness  [INDIVIDUAL]:  This student reflects on personal contribution, shows adaptability, and communicates behavioural insights.</t>
        </is>
      </c>
    </row>
    <row r="81" ht="28" customHeight="1">
      <c r="A81" s="27" t="inlineStr">
        <is>
          <t>Evaluator Signature:   Dr. Debasis Dash</t>
        </is>
      </c>
      <c r="B81" s="111" t="n"/>
      <c r="C81" s="28" t="inlineStr">
        <is>
          <t>Date:   25 / 04 / 2026</t>
        </is>
      </c>
      <c r="D81" s="111" t="n"/>
      <c r="E81" s="28" t="inlineStr">
        <is>
          <t>Coordinated by:   Prof. Sunny Nanade  (Course Instructor, NMIMS)</t>
        </is>
      </c>
      <c r="F81" s="112" t="n"/>
      <c r="G81" s="112" t="n"/>
      <c r="H81" s="111" t="n"/>
    </row>
  </sheetData>
  <mergeCells count="28">
    <mergeCell ref="A67:H67"/>
    <mergeCell ref="A59:H59"/>
    <mergeCell ref="A64:H64"/>
    <mergeCell ref="A1:H1"/>
    <mergeCell ref="E81:H81"/>
    <mergeCell ref="A79:H79"/>
    <mergeCell ref="A6:H6"/>
    <mergeCell ref="A80:H80"/>
    <mergeCell ref="A12:H12"/>
    <mergeCell ref="A3:H3"/>
    <mergeCell ref="A21:H21"/>
    <mergeCell ref="A26:H26"/>
    <mergeCell ref="A55:H55"/>
    <mergeCell ref="A2:H2"/>
    <mergeCell ref="A42:H42"/>
    <mergeCell ref="A76:H76"/>
    <mergeCell ref="A47:H47"/>
    <mergeCell ref="A5:H5"/>
    <mergeCell ref="A8:H8"/>
    <mergeCell ref="A17:H17"/>
    <mergeCell ref="A4:H4"/>
    <mergeCell ref="A81:B81"/>
    <mergeCell ref="A38:H38"/>
    <mergeCell ref="C81:D81"/>
    <mergeCell ref="A72:H72"/>
    <mergeCell ref="A52:H52"/>
    <mergeCell ref="A31:H31"/>
    <mergeCell ref="A34:H34"/>
  </mergeCells>
  <pageMargins left="0.4" right="0.4" top="0.5" bottom="0.5" header="0.3" footer="0.3"/>
  <pageSetup orientation="landscape" paperSize="9" fitToHeight="0" fitToWidth="1"/>
  <headerFooter>
    <oddHeader>&amp;CMini Project Exhibition 2026  |  Dr. Debasis Dash  |  25 April 2026  |  /16 marks</oddHeader>
    <oddFooter>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C3E50"/>
    <outlinePr summaryBelow="1" summaryRight="1"/>
    <pageSetUpPr fitToPage="1"/>
  </sheetPr>
  <dimension ref="A1:K5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3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</cols>
  <sheetData>
    <row r="1" ht="26" customHeight="1">
      <c r="A1" s="79" t="inlineStr">
        <is>
          <t>MINI PROJECT EXHIBITION 2026  --  MARKS SUMMARY  |  Final Score out of 100</t>
        </is>
      </c>
    </row>
    <row r="2" ht="34" customHeight="1">
      <c r="A2" s="80" t="inlineStr">
        <is>
          <t>6 Judges = 100 Total  |  Panchal /16  +  Chandarana /16  +  Gupta /16  +  Kane /20  +  Jandoo /16  +  Dash /16  =  FINAL /100
Columns E–J are pulled automatically from evaluator sheets. Enter marks ONLY on the individual evaluator tabs (1–6).</t>
        </is>
      </c>
    </row>
    <row r="3" ht="46" customHeight="1">
      <c r="A3" s="81" t="inlineStr">
        <is>
          <t>Grp
#</t>
        </is>
      </c>
      <c r="B3" s="81" t="inlineStr">
        <is>
          <t>Roll
No.</t>
        </is>
      </c>
      <c r="C3" s="81" t="inlineStr">
        <is>
          <t>Student Name</t>
        </is>
      </c>
      <c r="D3" s="81" t="inlineStr">
        <is>
          <t>Project Title</t>
        </is>
      </c>
      <c r="E3" s="81" t="inlineStr">
        <is>
          <t>Kamlesh
Panchal
/16</t>
        </is>
      </c>
      <c r="F3" s="81" t="inlineStr">
        <is>
          <t>Hasti
Chandarana
/16</t>
        </is>
      </c>
      <c r="G3" s="81" t="inlineStr">
        <is>
          <t>Nitu
Gupta
/16</t>
        </is>
      </c>
      <c r="H3" s="81" t="inlineStr">
        <is>
          <t>Mahendra
Kane
/20</t>
        </is>
      </c>
      <c r="I3" s="81" t="inlineStr">
        <is>
          <t>Parminder
Jandoo
/16</t>
        </is>
      </c>
      <c r="J3" s="81" t="inlineStr">
        <is>
          <t>Debasis
Dash
/16</t>
        </is>
      </c>
      <c r="K3" s="81" t="inlineStr">
        <is>
          <t>FINAL
MARKS
/100</t>
        </is>
      </c>
    </row>
    <row r="4" ht="20" customHeight="1">
      <c r="A4" s="82" t="n">
        <v>1</v>
      </c>
      <c r="B4" s="82" t="inlineStr">
        <is>
          <t>H079</t>
        </is>
      </c>
      <c r="C4" s="83" t="inlineStr">
        <is>
          <t>Student</t>
        </is>
      </c>
      <c r="D4" s="84" t="inlineStr">
        <is>
          <t>Mathematical Modeling and Dynamic Analysis of a Mu...</t>
        </is>
      </c>
      <c r="E4" s="85">
        <f>'1_Kamlesh_Panchal'!G9</f>
        <v/>
      </c>
      <c r="F4" s="86">
        <f>'2_Hasti_Chandarana'!G9</f>
        <v/>
      </c>
      <c r="G4" s="87">
        <f>'3_Nitu_Gupta'!G9</f>
        <v/>
      </c>
      <c r="H4" s="88">
        <f>'4_Mahendra_Kane'!G9</f>
        <v/>
      </c>
      <c r="I4" s="89">
        <f>'5_Parminder_Jandoo'!G9</f>
        <v/>
      </c>
      <c r="J4" s="90">
        <f>'6_Debasis_Dash'!G9</f>
        <v/>
      </c>
      <c r="K4" s="91">
        <f>E4+F4+G4+H4+I4+J4</f>
        <v/>
      </c>
    </row>
    <row r="5" ht="20" customHeight="1">
      <c r="A5" s="82" t="n">
        <v>1</v>
      </c>
      <c r="B5" s="82" t="inlineStr">
        <is>
          <t>H082</t>
        </is>
      </c>
      <c r="C5" s="83" t="inlineStr">
        <is>
          <t>Student</t>
        </is>
      </c>
      <c r="D5" s="84" t="inlineStr">
        <is>
          <t>Mathematical Modeling and Dynamic Analysis of a Mu...</t>
        </is>
      </c>
      <c r="E5" s="85">
        <f>'1_Kamlesh_Panchal'!G10</f>
        <v/>
      </c>
      <c r="F5" s="86">
        <f>'2_Hasti_Chandarana'!G10</f>
        <v/>
      </c>
      <c r="G5" s="87">
        <f>'3_Nitu_Gupta'!G10</f>
        <v/>
      </c>
      <c r="H5" s="88">
        <f>'4_Mahendra_Kane'!G10</f>
        <v/>
      </c>
      <c r="I5" s="89">
        <f>'5_Parminder_Jandoo'!G10</f>
        <v/>
      </c>
      <c r="J5" s="90">
        <f>'6_Debasis_Dash'!G10</f>
        <v/>
      </c>
      <c r="K5" s="91">
        <f>E5+F5+G5+H5+I5+J5</f>
        <v/>
      </c>
    </row>
    <row r="6" ht="20" customHeight="1">
      <c r="A6" s="92" t="n">
        <v>1</v>
      </c>
      <c r="B6" s="92" t="inlineStr">
        <is>
          <t>H084</t>
        </is>
      </c>
      <c r="C6" s="93" t="inlineStr">
        <is>
          <t>Student</t>
        </is>
      </c>
      <c r="D6" s="94" t="inlineStr">
        <is>
          <t>Mathematical Modeling and Dynamic Analysis of a Mu...</t>
        </is>
      </c>
      <c r="E6" s="95">
        <f>'1_Kamlesh_Panchal'!G11</f>
        <v/>
      </c>
      <c r="F6" s="96">
        <f>'2_Hasti_Chandarana'!G11</f>
        <v/>
      </c>
      <c r="G6" s="97">
        <f>'3_Nitu_Gupta'!G11</f>
        <v/>
      </c>
      <c r="H6" s="98">
        <f>'4_Mahendra_Kane'!G11</f>
        <v/>
      </c>
      <c r="I6" s="99">
        <f>'5_Parminder_Jandoo'!G11</f>
        <v/>
      </c>
      <c r="J6" s="100">
        <f>'6_Debasis_Dash'!G11</f>
        <v/>
      </c>
      <c r="K6" s="101">
        <f>E6+F6+G6+H6+I6+J6</f>
        <v/>
      </c>
    </row>
    <row r="7" ht="20" customHeight="1">
      <c r="A7" s="102" t="n">
        <v>2</v>
      </c>
      <c r="B7" s="102" t="inlineStr">
        <is>
          <t>H004</t>
        </is>
      </c>
      <c r="C7" s="103" t="inlineStr">
        <is>
          <t>Student</t>
        </is>
      </c>
      <c r="D7" s="104" t="inlineStr">
        <is>
          <t>Modeling Rocket Landing - Docking</t>
        </is>
      </c>
      <c r="E7" s="85">
        <f>'1_Kamlesh_Panchal'!G13</f>
        <v/>
      </c>
      <c r="F7" s="86">
        <f>'2_Hasti_Chandarana'!G13</f>
        <v/>
      </c>
      <c r="G7" s="87">
        <f>'3_Nitu_Gupta'!G13</f>
        <v/>
      </c>
      <c r="H7" s="88">
        <f>'4_Mahendra_Kane'!G13</f>
        <v/>
      </c>
      <c r="I7" s="89">
        <f>'5_Parminder_Jandoo'!G13</f>
        <v/>
      </c>
      <c r="J7" s="90">
        <f>'6_Debasis_Dash'!G13</f>
        <v/>
      </c>
      <c r="K7" s="91">
        <f>E7+F7+G7+H7+I7+J7</f>
        <v/>
      </c>
    </row>
    <row r="8" ht="20" customHeight="1">
      <c r="A8" s="102" t="n">
        <v>2</v>
      </c>
      <c r="B8" s="102" t="inlineStr">
        <is>
          <t>H005</t>
        </is>
      </c>
      <c r="C8" s="103" t="inlineStr">
        <is>
          <t>Student</t>
        </is>
      </c>
      <c r="D8" s="104" t="inlineStr">
        <is>
          <t>Modeling Rocket Landing - Docking</t>
        </is>
      </c>
      <c r="E8" s="85">
        <f>'1_Kamlesh_Panchal'!G14</f>
        <v/>
      </c>
      <c r="F8" s="86">
        <f>'2_Hasti_Chandarana'!G14</f>
        <v/>
      </c>
      <c r="G8" s="87">
        <f>'3_Nitu_Gupta'!G14</f>
        <v/>
      </c>
      <c r="H8" s="88">
        <f>'4_Mahendra_Kane'!G14</f>
        <v/>
      </c>
      <c r="I8" s="89">
        <f>'5_Parminder_Jandoo'!G14</f>
        <v/>
      </c>
      <c r="J8" s="90">
        <f>'6_Debasis_Dash'!G14</f>
        <v/>
      </c>
      <c r="K8" s="91">
        <f>E8+F8+G8+H8+I8+J8</f>
        <v/>
      </c>
    </row>
    <row r="9" ht="20" customHeight="1">
      <c r="A9" s="102" t="n">
        <v>2</v>
      </c>
      <c r="B9" s="102" t="inlineStr">
        <is>
          <t>H028</t>
        </is>
      </c>
      <c r="C9" s="103" t="inlineStr">
        <is>
          <t>Student</t>
        </is>
      </c>
      <c r="D9" s="104" t="inlineStr">
        <is>
          <t>Modeling Rocket Landing - Docking</t>
        </is>
      </c>
      <c r="E9" s="85">
        <f>'1_Kamlesh_Panchal'!G15</f>
        <v/>
      </c>
      <c r="F9" s="86">
        <f>'2_Hasti_Chandarana'!G15</f>
        <v/>
      </c>
      <c r="G9" s="87">
        <f>'3_Nitu_Gupta'!G15</f>
        <v/>
      </c>
      <c r="H9" s="88">
        <f>'4_Mahendra_Kane'!G15</f>
        <v/>
      </c>
      <c r="I9" s="89">
        <f>'5_Parminder_Jandoo'!G15</f>
        <v/>
      </c>
      <c r="J9" s="90">
        <f>'6_Debasis_Dash'!G15</f>
        <v/>
      </c>
      <c r="K9" s="91">
        <f>E9+F9+G9+H9+I9+J9</f>
        <v/>
      </c>
    </row>
    <row r="10" ht="20" customHeight="1">
      <c r="A10" s="105" t="n">
        <v>2</v>
      </c>
      <c r="B10" s="105" t="inlineStr">
        <is>
          <t>H031</t>
        </is>
      </c>
      <c r="C10" s="106" t="inlineStr">
        <is>
          <t>Student</t>
        </is>
      </c>
      <c r="D10" s="107" t="inlineStr">
        <is>
          <t>Modeling Rocket Landing - Docking</t>
        </is>
      </c>
      <c r="E10" s="95">
        <f>'1_Kamlesh_Panchal'!G16</f>
        <v/>
      </c>
      <c r="F10" s="96">
        <f>'2_Hasti_Chandarana'!G16</f>
        <v/>
      </c>
      <c r="G10" s="97">
        <f>'3_Nitu_Gupta'!G16</f>
        <v/>
      </c>
      <c r="H10" s="98">
        <f>'4_Mahendra_Kane'!G16</f>
        <v/>
      </c>
      <c r="I10" s="99">
        <f>'5_Parminder_Jandoo'!G16</f>
        <v/>
      </c>
      <c r="J10" s="100">
        <f>'6_Debasis_Dash'!G16</f>
        <v/>
      </c>
      <c r="K10" s="101">
        <f>E10+F10+G10+H10+I10+J10</f>
        <v/>
      </c>
    </row>
    <row r="11" ht="20" customHeight="1">
      <c r="A11" s="82" t="n">
        <v>3</v>
      </c>
      <c r="B11" s="82" t="inlineStr">
        <is>
          <t>H009</t>
        </is>
      </c>
      <c r="C11" s="83" t="inlineStr">
        <is>
          <t>Student</t>
        </is>
      </c>
      <c r="D11" s="84" t="inlineStr">
        <is>
          <t>Dynamic Modeling and Stability Analysis of 2-DOF L...</t>
        </is>
      </c>
      <c r="E11" s="85">
        <f>'1_Kamlesh_Panchal'!G18</f>
        <v/>
      </c>
      <c r="F11" s="86">
        <f>'2_Hasti_Chandarana'!G18</f>
        <v/>
      </c>
      <c r="G11" s="87">
        <f>'3_Nitu_Gupta'!G18</f>
        <v/>
      </c>
      <c r="H11" s="88">
        <f>'4_Mahendra_Kane'!G18</f>
        <v/>
      </c>
      <c r="I11" s="89">
        <f>'5_Parminder_Jandoo'!G18</f>
        <v/>
      </c>
      <c r="J11" s="90">
        <f>'6_Debasis_Dash'!G18</f>
        <v/>
      </c>
      <c r="K11" s="91">
        <f>E11+F11+G11+H11+I11+J11</f>
        <v/>
      </c>
    </row>
    <row r="12" ht="20" customHeight="1">
      <c r="A12" s="82" t="n">
        <v>3</v>
      </c>
      <c r="B12" s="82" t="inlineStr">
        <is>
          <t>H012</t>
        </is>
      </c>
      <c r="C12" s="83" t="inlineStr">
        <is>
          <t>Student</t>
        </is>
      </c>
      <c r="D12" s="84" t="inlineStr">
        <is>
          <t>Dynamic Modeling and Stability Analysis of 2-DOF L...</t>
        </is>
      </c>
      <c r="E12" s="85">
        <f>'1_Kamlesh_Panchal'!G19</f>
        <v/>
      </c>
      <c r="F12" s="86">
        <f>'2_Hasti_Chandarana'!G19</f>
        <v/>
      </c>
      <c r="G12" s="87">
        <f>'3_Nitu_Gupta'!G19</f>
        <v/>
      </c>
      <c r="H12" s="88">
        <f>'4_Mahendra_Kane'!G19</f>
        <v/>
      </c>
      <c r="I12" s="89">
        <f>'5_Parminder_Jandoo'!G19</f>
        <v/>
      </c>
      <c r="J12" s="90">
        <f>'6_Debasis_Dash'!G19</f>
        <v/>
      </c>
      <c r="K12" s="91">
        <f>E12+F12+G12+H12+I12+J12</f>
        <v/>
      </c>
    </row>
    <row r="13" ht="20" customHeight="1">
      <c r="A13" s="92" t="n">
        <v>3</v>
      </c>
      <c r="B13" s="92" t="inlineStr">
        <is>
          <t>H033</t>
        </is>
      </c>
      <c r="C13" s="93" t="inlineStr">
        <is>
          <t>Student</t>
        </is>
      </c>
      <c r="D13" s="94" t="inlineStr">
        <is>
          <t>Dynamic Modeling and Stability Analysis of 2-DOF L...</t>
        </is>
      </c>
      <c r="E13" s="95">
        <f>'1_Kamlesh_Panchal'!G20</f>
        <v/>
      </c>
      <c r="F13" s="96">
        <f>'2_Hasti_Chandarana'!G20</f>
        <v/>
      </c>
      <c r="G13" s="97">
        <f>'3_Nitu_Gupta'!G20</f>
        <v/>
      </c>
      <c r="H13" s="98">
        <f>'4_Mahendra_Kane'!G20</f>
        <v/>
      </c>
      <c r="I13" s="99">
        <f>'5_Parminder_Jandoo'!G20</f>
        <v/>
      </c>
      <c r="J13" s="100">
        <f>'6_Debasis_Dash'!G20</f>
        <v/>
      </c>
      <c r="K13" s="101">
        <f>E13+F13+G13+H13+I13+J13</f>
        <v/>
      </c>
    </row>
    <row r="14" ht="20" customHeight="1">
      <c r="A14" s="102" t="n">
        <v>4</v>
      </c>
      <c r="B14" s="102" t="inlineStr">
        <is>
          <t>H014</t>
        </is>
      </c>
      <c r="C14" s="103" t="inlineStr">
        <is>
          <t>Student</t>
        </is>
      </c>
      <c r="D14" s="104" t="inlineStr">
        <is>
          <t>Critical Skid Velocity Mathematical Modeling</t>
        </is>
      </c>
      <c r="E14" s="85">
        <f>'1_Kamlesh_Panchal'!G22</f>
        <v/>
      </c>
      <c r="F14" s="86">
        <f>'2_Hasti_Chandarana'!G22</f>
        <v/>
      </c>
      <c r="G14" s="87">
        <f>'3_Nitu_Gupta'!G22</f>
        <v/>
      </c>
      <c r="H14" s="88">
        <f>'4_Mahendra_Kane'!G22</f>
        <v/>
      </c>
      <c r="I14" s="89">
        <f>'5_Parminder_Jandoo'!G22</f>
        <v/>
      </c>
      <c r="J14" s="90">
        <f>'6_Debasis_Dash'!G22</f>
        <v/>
      </c>
      <c r="K14" s="91">
        <f>E14+F14+G14+H14+I14+J14</f>
        <v/>
      </c>
    </row>
    <row r="15" ht="20" customHeight="1">
      <c r="A15" s="102" t="n">
        <v>4</v>
      </c>
      <c r="B15" s="102" t="inlineStr">
        <is>
          <t>H015</t>
        </is>
      </c>
      <c r="C15" s="103" t="inlineStr">
        <is>
          <t>Student</t>
        </is>
      </c>
      <c r="D15" s="104" t="inlineStr">
        <is>
          <t>Critical Skid Velocity Mathematical Modeling</t>
        </is>
      </c>
      <c r="E15" s="85">
        <f>'1_Kamlesh_Panchal'!G23</f>
        <v/>
      </c>
      <c r="F15" s="86">
        <f>'2_Hasti_Chandarana'!G23</f>
        <v/>
      </c>
      <c r="G15" s="87">
        <f>'3_Nitu_Gupta'!G23</f>
        <v/>
      </c>
      <c r="H15" s="88">
        <f>'4_Mahendra_Kane'!G23</f>
        <v/>
      </c>
      <c r="I15" s="89">
        <f>'5_Parminder_Jandoo'!G23</f>
        <v/>
      </c>
      <c r="J15" s="90">
        <f>'6_Debasis_Dash'!G23</f>
        <v/>
      </c>
      <c r="K15" s="91">
        <f>E15+F15+G15+H15+I15+J15</f>
        <v/>
      </c>
    </row>
    <row r="16" ht="20" customHeight="1">
      <c r="A16" s="102" t="n">
        <v>4</v>
      </c>
      <c r="B16" s="102" t="inlineStr">
        <is>
          <t>H016</t>
        </is>
      </c>
      <c r="C16" s="103" t="inlineStr">
        <is>
          <t>Student</t>
        </is>
      </c>
      <c r="D16" s="104" t="inlineStr">
        <is>
          <t>Critical Skid Velocity Mathematical Modeling</t>
        </is>
      </c>
      <c r="E16" s="85">
        <f>'1_Kamlesh_Panchal'!G24</f>
        <v/>
      </c>
      <c r="F16" s="86">
        <f>'2_Hasti_Chandarana'!G24</f>
        <v/>
      </c>
      <c r="G16" s="87">
        <f>'3_Nitu_Gupta'!G24</f>
        <v/>
      </c>
      <c r="H16" s="88">
        <f>'4_Mahendra_Kane'!G24</f>
        <v/>
      </c>
      <c r="I16" s="89">
        <f>'5_Parminder_Jandoo'!G24</f>
        <v/>
      </c>
      <c r="J16" s="90">
        <f>'6_Debasis_Dash'!G24</f>
        <v/>
      </c>
      <c r="K16" s="91">
        <f>E16+F16+G16+H16+I16+J16</f>
        <v/>
      </c>
    </row>
    <row r="17" ht="20" customHeight="1">
      <c r="A17" s="105" t="n">
        <v>4</v>
      </c>
      <c r="B17" s="105" t="inlineStr">
        <is>
          <t>H025</t>
        </is>
      </c>
      <c r="C17" s="106" t="inlineStr">
        <is>
          <t>Student</t>
        </is>
      </c>
      <c r="D17" s="107" t="inlineStr">
        <is>
          <t>Critical Skid Velocity Mathematical Modeling</t>
        </is>
      </c>
      <c r="E17" s="95">
        <f>'1_Kamlesh_Panchal'!G25</f>
        <v/>
      </c>
      <c r="F17" s="96">
        <f>'2_Hasti_Chandarana'!G25</f>
        <v/>
      </c>
      <c r="G17" s="97">
        <f>'3_Nitu_Gupta'!G25</f>
        <v/>
      </c>
      <c r="H17" s="98">
        <f>'4_Mahendra_Kane'!G25</f>
        <v/>
      </c>
      <c r="I17" s="99">
        <f>'5_Parminder_Jandoo'!G25</f>
        <v/>
      </c>
      <c r="J17" s="100">
        <f>'6_Debasis_Dash'!G25</f>
        <v/>
      </c>
      <c r="K17" s="101">
        <f>E17+F17+G17+H17+I17+J17</f>
        <v/>
      </c>
    </row>
    <row r="18" ht="20" customHeight="1">
      <c r="A18" s="82" t="n">
        <v>5</v>
      </c>
      <c r="B18" s="82" t="inlineStr">
        <is>
          <t>H003</t>
        </is>
      </c>
      <c r="C18" s="83" t="inlineStr">
        <is>
          <t>Student</t>
        </is>
      </c>
      <c r="D18" s="84" t="inlineStr">
        <is>
          <t>Humanoid Robot - Dynamic Modeling</t>
        </is>
      </c>
      <c r="E18" s="85">
        <f>'1_Kamlesh_Panchal'!G27</f>
        <v/>
      </c>
      <c r="F18" s="86">
        <f>'2_Hasti_Chandarana'!G27</f>
        <v/>
      </c>
      <c r="G18" s="87">
        <f>'3_Nitu_Gupta'!G27</f>
        <v/>
      </c>
      <c r="H18" s="88">
        <f>'4_Mahendra_Kane'!G27</f>
        <v/>
      </c>
      <c r="I18" s="89">
        <f>'5_Parminder_Jandoo'!G27</f>
        <v/>
      </c>
      <c r="J18" s="90">
        <f>'6_Debasis_Dash'!G27</f>
        <v/>
      </c>
      <c r="K18" s="91">
        <f>E18+F18+G18+H18+I18+J18</f>
        <v/>
      </c>
    </row>
    <row r="19" ht="20" customHeight="1">
      <c r="A19" s="82" t="n">
        <v>5</v>
      </c>
      <c r="B19" s="82" t="inlineStr">
        <is>
          <t>H006</t>
        </is>
      </c>
      <c r="C19" s="83" t="inlineStr">
        <is>
          <t>Student</t>
        </is>
      </c>
      <c r="D19" s="84" t="inlineStr">
        <is>
          <t>Humanoid Robot - Dynamic Modeling</t>
        </is>
      </c>
      <c r="E19" s="85">
        <f>'1_Kamlesh_Panchal'!G28</f>
        <v/>
      </c>
      <c r="F19" s="86">
        <f>'2_Hasti_Chandarana'!G28</f>
        <v/>
      </c>
      <c r="G19" s="87">
        <f>'3_Nitu_Gupta'!G28</f>
        <v/>
      </c>
      <c r="H19" s="88">
        <f>'4_Mahendra_Kane'!G28</f>
        <v/>
      </c>
      <c r="I19" s="89">
        <f>'5_Parminder_Jandoo'!G28</f>
        <v/>
      </c>
      <c r="J19" s="90">
        <f>'6_Debasis_Dash'!G28</f>
        <v/>
      </c>
      <c r="K19" s="91">
        <f>E19+F19+G19+H19+I19+J19</f>
        <v/>
      </c>
    </row>
    <row r="20" ht="20" customHeight="1">
      <c r="A20" s="82" t="n">
        <v>5</v>
      </c>
      <c r="B20" s="82" t="inlineStr">
        <is>
          <t>H024</t>
        </is>
      </c>
      <c r="C20" s="83" t="inlineStr">
        <is>
          <t>Student</t>
        </is>
      </c>
      <c r="D20" s="84" t="inlineStr">
        <is>
          <t>Humanoid Robot - Dynamic Modeling</t>
        </is>
      </c>
      <c r="E20" s="85">
        <f>'1_Kamlesh_Panchal'!G29</f>
        <v/>
      </c>
      <c r="F20" s="86">
        <f>'2_Hasti_Chandarana'!G29</f>
        <v/>
      </c>
      <c r="G20" s="87">
        <f>'3_Nitu_Gupta'!G29</f>
        <v/>
      </c>
      <c r="H20" s="88">
        <f>'4_Mahendra_Kane'!G29</f>
        <v/>
      </c>
      <c r="I20" s="89">
        <f>'5_Parminder_Jandoo'!G29</f>
        <v/>
      </c>
      <c r="J20" s="90">
        <f>'6_Debasis_Dash'!G29</f>
        <v/>
      </c>
      <c r="K20" s="91">
        <f>E20+F20+G20+H20+I20+J20</f>
        <v/>
      </c>
    </row>
    <row r="21" ht="20" customHeight="1">
      <c r="A21" s="92" t="n">
        <v>5</v>
      </c>
      <c r="B21" s="92" t="inlineStr">
        <is>
          <t>H029</t>
        </is>
      </c>
      <c r="C21" s="93" t="inlineStr">
        <is>
          <t>Student</t>
        </is>
      </c>
      <c r="D21" s="94" t="inlineStr">
        <is>
          <t>Humanoid Robot - Dynamic Modeling</t>
        </is>
      </c>
      <c r="E21" s="95">
        <f>'1_Kamlesh_Panchal'!G30</f>
        <v/>
      </c>
      <c r="F21" s="96">
        <f>'2_Hasti_Chandarana'!G30</f>
        <v/>
      </c>
      <c r="G21" s="97">
        <f>'3_Nitu_Gupta'!G30</f>
        <v/>
      </c>
      <c r="H21" s="98">
        <f>'4_Mahendra_Kane'!G30</f>
        <v/>
      </c>
      <c r="I21" s="99">
        <f>'5_Parminder_Jandoo'!G30</f>
        <v/>
      </c>
      <c r="J21" s="100">
        <f>'6_Debasis_Dash'!G30</f>
        <v/>
      </c>
      <c r="K21" s="101">
        <f>E21+F21+G21+H21+I21+J21</f>
        <v/>
      </c>
    </row>
    <row r="22" ht="20" customHeight="1">
      <c r="A22" s="102" t="n">
        <v>6</v>
      </c>
      <c r="B22" s="102" t="inlineStr">
        <is>
          <t>H001</t>
        </is>
      </c>
      <c r="C22" s="103" t="inlineStr">
        <is>
          <t>Student</t>
        </is>
      </c>
      <c r="D22" s="104" t="inlineStr">
        <is>
          <t>Dynamic Modeling of Hydrogen Fuel Cell-Battery Hyb...</t>
        </is>
      </c>
      <c r="E22" s="85">
        <f>'1_Kamlesh_Panchal'!G32</f>
        <v/>
      </c>
      <c r="F22" s="86">
        <f>'2_Hasti_Chandarana'!G32</f>
        <v/>
      </c>
      <c r="G22" s="87">
        <f>'3_Nitu_Gupta'!G32</f>
        <v/>
      </c>
      <c r="H22" s="88">
        <f>'4_Mahendra_Kane'!G32</f>
        <v/>
      </c>
      <c r="I22" s="89">
        <f>'5_Parminder_Jandoo'!G32</f>
        <v/>
      </c>
      <c r="J22" s="90">
        <f>'6_Debasis_Dash'!G32</f>
        <v/>
      </c>
      <c r="K22" s="91">
        <f>E22+F22+G22+H22+I22+J22</f>
        <v/>
      </c>
    </row>
    <row r="23" ht="20" customHeight="1">
      <c r="A23" s="105" t="n">
        <v>6</v>
      </c>
      <c r="B23" s="105" t="inlineStr">
        <is>
          <t>H002</t>
        </is>
      </c>
      <c r="C23" s="106" t="inlineStr">
        <is>
          <t>Student</t>
        </is>
      </c>
      <c r="D23" s="107" t="inlineStr">
        <is>
          <t>Dynamic Modeling of Hydrogen Fuel Cell-Battery Hyb...</t>
        </is>
      </c>
      <c r="E23" s="95">
        <f>'1_Kamlesh_Panchal'!G33</f>
        <v/>
      </c>
      <c r="F23" s="96">
        <f>'2_Hasti_Chandarana'!G33</f>
        <v/>
      </c>
      <c r="G23" s="97">
        <f>'3_Nitu_Gupta'!G33</f>
        <v/>
      </c>
      <c r="H23" s="98">
        <f>'4_Mahendra_Kane'!G33</f>
        <v/>
      </c>
      <c r="I23" s="99">
        <f>'5_Parminder_Jandoo'!G33</f>
        <v/>
      </c>
      <c r="J23" s="100">
        <f>'6_Debasis_Dash'!G33</f>
        <v/>
      </c>
      <c r="K23" s="101">
        <f>E23+F23+G23+H23+I23+J23</f>
        <v/>
      </c>
    </row>
    <row r="24" ht="20" customHeight="1">
      <c r="A24" s="82" t="n">
        <v>7</v>
      </c>
      <c r="B24" s="82" t="inlineStr">
        <is>
          <t>H021</t>
        </is>
      </c>
      <c r="C24" s="83" t="inlineStr">
        <is>
          <t>Student</t>
        </is>
      </c>
      <c r="D24" s="84" t="inlineStr">
        <is>
          <t>Hexapod Robot - Mathematical Modeling</t>
        </is>
      </c>
      <c r="E24" s="85">
        <f>'1_Kamlesh_Panchal'!G35</f>
        <v/>
      </c>
      <c r="F24" s="86">
        <f>'2_Hasti_Chandarana'!G35</f>
        <v/>
      </c>
      <c r="G24" s="87">
        <f>'3_Nitu_Gupta'!G35</f>
        <v/>
      </c>
      <c r="H24" s="88">
        <f>'4_Mahendra_Kane'!G35</f>
        <v/>
      </c>
      <c r="I24" s="89">
        <f>'5_Parminder_Jandoo'!G35</f>
        <v/>
      </c>
      <c r="J24" s="90">
        <f>'6_Debasis_Dash'!G35</f>
        <v/>
      </c>
      <c r="K24" s="91">
        <f>E24+F24+G24+H24+I24+J24</f>
        <v/>
      </c>
    </row>
    <row r="25" ht="20" customHeight="1">
      <c r="A25" s="82" t="n">
        <v>7</v>
      </c>
      <c r="B25" s="82" t="inlineStr">
        <is>
          <t>H022</t>
        </is>
      </c>
      <c r="C25" s="83" t="inlineStr">
        <is>
          <t>Student</t>
        </is>
      </c>
      <c r="D25" s="84" t="inlineStr">
        <is>
          <t>Hexapod Robot - Mathematical Modeling</t>
        </is>
      </c>
      <c r="E25" s="85">
        <f>'1_Kamlesh_Panchal'!G36</f>
        <v/>
      </c>
      <c r="F25" s="86">
        <f>'2_Hasti_Chandarana'!G36</f>
        <v/>
      </c>
      <c r="G25" s="87">
        <f>'3_Nitu_Gupta'!G36</f>
        <v/>
      </c>
      <c r="H25" s="88">
        <f>'4_Mahendra_Kane'!G36</f>
        <v/>
      </c>
      <c r="I25" s="89">
        <f>'5_Parminder_Jandoo'!G36</f>
        <v/>
      </c>
      <c r="J25" s="90">
        <f>'6_Debasis_Dash'!G36</f>
        <v/>
      </c>
      <c r="K25" s="91">
        <f>E25+F25+G25+H25+I25+J25</f>
        <v/>
      </c>
    </row>
    <row r="26" ht="20" customHeight="1">
      <c r="A26" s="92" t="n">
        <v>7</v>
      </c>
      <c r="B26" s="92" t="inlineStr">
        <is>
          <t>H023</t>
        </is>
      </c>
      <c r="C26" s="93" t="inlineStr">
        <is>
          <t>Student</t>
        </is>
      </c>
      <c r="D26" s="94" t="inlineStr">
        <is>
          <t>Hexapod Robot - Mathematical Modeling</t>
        </is>
      </c>
      <c r="E26" s="95">
        <f>'1_Kamlesh_Panchal'!G37</f>
        <v/>
      </c>
      <c r="F26" s="96">
        <f>'2_Hasti_Chandarana'!G37</f>
        <v/>
      </c>
      <c r="G26" s="97">
        <f>'3_Nitu_Gupta'!G37</f>
        <v/>
      </c>
      <c r="H26" s="98">
        <f>'4_Mahendra_Kane'!G37</f>
        <v/>
      </c>
      <c r="I26" s="99">
        <f>'5_Parminder_Jandoo'!G37</f>
        <v/>
      </c>
      <c r="J26" s="100">
        <f>'6_Debasis_Dash'!G37</f>
        <v/>
      </c>
      <c r="K26" s="101">
        <f>E26+F26+G26+H26+I26+J26</f>
        <v/>
      </c>
    </row>
    <row r="27" ht="20" customHeight="1">
      <c r="A27" s="102" t="n">
        <v>8</v>
      </c>
      <c r="B27" s="102" t="inlineStr">
        <is>
          <t>H059</t>
        </is>
      </c>
      <c r="C27" s="103" t="inlineStr">
        <is>
          <t>Student</t>
        </is>
      </c>
      <c r="D27" s="104" t="inlineStr">
        <is>
          <t>Mathematical Modeling and Dynamics of Ball Balanci...</t>
        </is>
      </c>
      <c r="E27" s="85">
        <f>'1_Kamlesh_Panchal'!G39</f>
        <v/>
      </c>
      <c r="F27" s="86">
        <f>'2_Hasti_Chandarana'!G39</f>
        <v/>
      </c>
      <c r="G27" s="87">
        <f>'3_Nitu_Gupta'!G39</f>
        <v/>
      </c>
      <c r="H27" s="88">
        <f>'4_Mahendra_Kane'!G39</f>
        <v/>
      </c>
      <c r="I27" s="89">
        <f>'5_Parminder_Jandoo'!G39</f>
        <v/>
      </c>
      <c r="J27" s="90">
        <f>'6_Debasis_Dash'!G39</f>
        <v/>
      </c>
      <c r="K27" s="91">
        <f>E27+F27+G27+H27+I27+J27</f>
        <v/>
      </c>
    </row>
    <row r="28" ht="20" customHeight="1">
      <c r="A28" s="102" t="n">
        <v>8</v>
      </c>
      <c r="B28" s="102" t="inlineStr">
        <is>
          <t>H060</t>
        </is>
      </c>
      <c r="C28" s="103" t="inlineStr">
        <is>
          <t>Student</t>
        </is>
      </c>
      <c r="D28" s="104" t="inlineStr">
        <is>
          <t>Mathematical Modeling and Dynamics of Ball Balanci...</t>
        </is>
      </c>
      <c r="E28" s="85">
        <f>'1_Kamlesh_Panchal'!G40</f>
        <v/>
      </c>
      <c r="F28" s="86">
        <f>'2_Hasti_Chandarana'!G40</f>
        <v/>
      </c>
      <c r="G28" s="87">
        <f>'3_Nitu_Gupta'!G40</f>
        <v/>
      </c>
      <c r="H28" s="88">
        <f>'4_Mahendra_Kane'!G40</f>
        <v/>
      </c>
      <c r="I28" s="89">
        <f>'5_Parminder_Jandoo'!G40</f>
        <v/>
      </c>
      <c r="J28" s="90">
        <f>'6_Debasis_Dash'!G40</f>
        <v/>
      </c>
      <c r="K28" s="91">
        <f>E28+F28+G28+H28+I28+J28</f>
        <v/>
      </c>
    </row>
    <row r="29" ht="20" customHeight="1">
      <c r="A29" s="105" t="n">
        <v>8</v>
      </c>
      <c r="B29" s="105" t="inlineStr">
        <is>
          <t>H062</t>
        </is>
      </c>
      <c r="C29" s="106" t="inlineStr">
        <is>
          <t>Student</t>
        </is>
      </c>
      <c r="D29" s="107" t="inlineStr">
        <is>
          <t>Mathematical Modeling and Dynamics of Ball Balanci...</t>
        </is>
      </c>
      <c r="E29" s="95">
        <f>'1_Kamlesh_Panchal'!G41</f>
        <v/>
      </c>
      <c r="F29" s="96">
        <f>'2_Hasti_Chandarana'!G41</f>
        <v/>
      </c>
      <c r="G29" s="97">
        <f>'3_Nitu_Gupta'!G41</f>
        <v/>
      </c>
      <c r="H29" s="98">
        <f>'4_Mahendra_Kane'!G41</f>
        <v/>
      </c>
      <c r="I29" s="99">
        <f>'5_Parminder_Jandoo'!G41</f>
        <v/>
      </c>
      <c r="J29" s="100">
        <f>'6_Debasis_Dash'!G41</f>
        <v/>
      </c>
      <c r="K29" s="101">
        <f>E29+F29+G29+H29+I29+J29</f>
        <v/>
      </c>
    </row>
    <row r="30" ht="20" customHeight="1">
      <c r="A30" s="82" t="n">
        <v>9</v>
      </c>
      <c r="B30" s="82" t="inlineStr">
        <is>
          <t>H035</t>
        </is>
      </c>
      <c r="C30" s="83" t="inlineStr">
        <is>
          <t>Student</t>
        </is>
      </c>
      <c r="D30" s="84" t="inlineStr">
        <is>
          <t>Dynamic Modelling of Sensor-Integrated Remotely Op...</t>
        </is>
      </c>
      <c r="E30" s="85">
        <f>'1_Kamlesh_Panchal'!G43</f>
        <v/>
      </c>
      <c r="F30" s="86">
        <f>'2_Hasti_Chandarana'!G43</f>
        <v/>
      </c>
      <c r="G30" s="87">
        <f>'3_Nitu_Gupta'!G43</f>
        <v/>
      </c>
      <c r="H30" s="88">
        <f>'4_Mahendra_Kane'!G43</f>
        <v/>
      </c>
      <c r="I30" s="89">
        <f>'5_Parminder_Jandoo'!G43</f>
        <v/>
      </c>
      <c r="J30" s="90">
        <f>'6_Debasis_Dash'!G43</f>
        <v/>
      </c>
      <c r="K30" s="91">
        <f>E30+F30+G30+H30+I30+J30</f>
        <v/>
      </c>
    </row>
    <row r="31" ht="20" customHeight="1">
      <c r="A31" s="82" t="n">
        <v>9</v>
      </c>
      <c r="B31" s="82" t="inlineStr">
        <is>
          <t>H040</t>
        </is>
      </c>
      <c r="C31" s="83" t="inlineStr">
        <is>
          <t>Student</t>
        </is>
      </c>
      <c r="D31" s="84" t="inlineStr">
        <is>
          <t>Dynamic Modelling of Sensor-Integrated Remotely Op...</t>
        </is>
      </c>
      <c r="E31" s="85">
        <f>'1_Kamlesh_Panchal'!G44</f>
        <v/>
      </c>
      <c r="F31" s="86">
        <f>'2_Hasti_Chandarana'!G44</f>
        <v/>
      </c>
      <c r="G31" s="87">
        <f>'3_Nitu_Gupta'!G44</f>
        <v/>
      </c>
      <c r="H31" s="88">
        <f>'4_Mahendra_Kane'!G44</f>
        <v/>
      </c>
      <c r="I31" s="89">
        <f>'5_Parminder_Jandoo'!G44</f>
        <v/>
      </c>
      <c r="J31" s="90">
        <f>'6_Debasis_Dash'!G44</f>
        <v/>
      </c>
      <c r="K31" s="91">
        <f>E31+F31+G31+H31+I31+J31</f>
        <v/>
      </c>
    </row>
    <row r="32" ht="20" customHeight="1">
      <c r="A32" s="82" t="n">
        <v>9</v>
      </c>
      <c r="B32" s="82" t="inlineStr">
        <is>
          <t>H046</t>
        </is>
      </c>
      <c r="C32" s="83" t="inlineStr">
        <is>
          <t>Student</t>
        </is>
      </c>
      <c r="D32" s="84" t="inlineStr">
        <is>
          <t>Dynamic Modelling of Sensor-Integrated Remotely Op...</t>
        </is>
      </c>
      <c r="E32" s="85">
        <f>'1_Kamlesh_Panchal'!G45</f>
        <v/>
      </c>
      <c r="F32" s="86">
        <f>'2_Hasti_Chandarana'!G45</f>
        <v/>
      </c>
      <c r="G32" s="87">
        <f>'3_Nitu_Gupta'!G45</f>
        <v/>
      </c>
      <c r="H32" s="88">
        <f>'4_Mahendra_Kane'!G45</f>
        <v/>
      </c>
      <c r="I32" s="89">
        <f>'5_Parminder_Jandoo'!G45</f>
        <v/>
      </c>
      <c r="J32" s="90">
        <f>'6_Debasis_Dash'!G45</f>
        <v/>
      </c>
      <c r="K32" s="91">
        <f>E32+F32+G32+H32+I32+J32</f>
        <v/>
      </c>
    </row>
    <row r="33" ht="20" customHeight="1">
      <c r="A33" s="92" t="n">
        <v>9</v>
      </c>
      <c r="B33" s="92" t="inlineStr">
        <is>
          <t>H047</t>
        </is>
      </c>
      <c r="C33" s="93" t="inlineStr">
        <is>
          <t>Student</t>
        </is>
      </c>
      <c r="D33" s="94" t="inlineStr">
        <is>
          <t>Dynamic Modelling of Sensor-Integrated Remotely Op...</t>
        </is>
      </c>
      <c r="E33" s="95">
        <f>'1_Kamlesh_Panchal'!G46</f>
        <v/>
      </c>
      <c r="F33" s="96">
        <f>'2_Hasti_Chandarana'!G46</f>
        <v/>
      </c>
      <c r="G33" s="97">
        <f>'3_Nitu_Gupta'!G46</f>
        <v/>
      </c>
      <c r="H33" s="98">
        <f>'4_Mahendra_Kane'!G46</f>
        <v/>
      </c>
      <c r="I33" s="99">
        <f>'5_Parminder_Jandoo'!G46</f>
        <v/>
      </c>
      <c r="J33" s="100">
        <f>'6_Debasis_Dash'!G46</f>
        <v/>
      </c>
      <c r="K33" s="101">
        <f>E33+F33+G33+H33+I33+J33</f>
        <v/>
      </c>
    </row>
    <row r="34" ht="20" customHeight="1">
      <c r="A34" s="102" t="n">
        <v>10</v>
      </c>
      <c r="B34" s="102" t="inlineStr">
        <is>
          <t>H036</t>
        </is>
      </c>
      <c r="C34" s="103" t="inlineStr">
        <is>
          <t>Student</t>
        </is>
      </c>
      <c r="D34" s="104" t="inlineStr">
        <is>
          <t>Mathematical Modeling of Motors</t>
        </is>
      </c>
      <c r="E34" s="85">
        <f>'1_Kamlesh_Panchal'!G48</f>
        <v/>
      </c>
      <c r="F34" s="86">
        <f>'2_Hasti_Chandarana'!G48</f>
        <v/>
      </c>
      <c r="G34" s="87">
        <f>'3_Nitu_Gupta'!G48</f>
        <v/>
      </c>
      <c r="H34" s="88">
        <f>'4_Mahendra_Kane'!G48</f>
        <v/>
      </c>
      <c r="I34" s="89">
        <f>'5_Parminder_Jandoo'!G48</f>
        <v/>
      </c>
      <c r="J34" s="90">
        <f>'6_Debasis_Dash'!G48</f>
        <v/>
      </c>
      <c r="K34" s="91">
        <f>E34+F34+G34+H34+I34+J34</f>
        <v/>
      </c>
    </row>
    <row r="35" ht="20" customHeight="1">
      <c r="A35" s="102" t="n">
        <v>10</v>
      </c>
      <c r="B35" s="102" t="inlineStr">
        <is>
          <t>H050</t>
        </is>
      </c>
      <c r="C35" s="103" t="inlineStr">
        <is>
          <t>Student</t>
        </is>
      </c>
      <c r="D35" s="104" t="inlineStr">
        <is>
          <t>Mathematical Modeling of Motors</t>
        </is>
      </c>
      <c r="E35" s="85">
        <f>'1_Kamlesh_Panchal'!G49</f>
        <v/>
      </c>
      <c r="F35" s="86">
        <f>'2_Hasti_Chandarana'!G49</f>
        <v/>
      </c>
      <c r="G35" s="87">
        <f>'3_Nitu_Gupta'!G49</f>
        <v/>
      </c>
      <c r="H35" s="88">
        <f>'4_Mahendra_Kane'!G49</f>
        <v/>
      </c>
      <c r="I35" s="89">
        <f>'5_Parminder_Jandoo'!G49</f>
        <v/>
      </c>
      <c r="J35" s="90">
        <f>'6_Debasis_Dash'!G49</f>
        <v/>
      </c>
      <c r="K35" s="91">
        <f>E35+F35+G35+H35+I35+J35</f>
        <v/>
      </c>
    </row>
    <row r="36" ht="20" customHeight="1">
      <c r="A36" s="102" t="n">
        <v>10</v>
      </c>
      <c r="B36" s="102" t="inlineStr">
        <is>
          <t>H051</t>
        </is>
      </c>
      <c r="C36" s="103" t="inlineStr">
        <is>
          <t>Student</t>
        </is>
      </c>
      <c r="D36" s="104" t="inlineStr">
        <is>
          <t>Mathematical Modeling of Motors</t>
        </is>
      </c>
      <c r="E36" s="85">
        <f>'1_Kamlesh_Panchal'!G50</f>
        <v/>
      </c>
      <c r="F36" s="86">
        <f>'2_Hasti_Chandarana'!G50</f>
        <v/>
      </c>
      <c r="G36" s="87">
        <f>'3_Nitu_Gupta'!G50</f>
        <v/>
      </c>
      <c r="H36" s="88">
        <f>'4_Mahendra_Kane'!G50</f>
        <v/>
      </c>
      <c r="I36" s="89">
        <f>'5_Parminder_Jandoo'!G50</f>
        <v/>
      </c>
      <c r="J36" s="90">
        <f>'6_Debasis_Dash'!G50</f>
        <v/>
      </c>
      <c r="K36" s="91">
        <f>E36+F36+G36+H36+I36+J36</f>
        <v/>
      </c>
    </row>
    <row r="37" ht="20" customHeight="1">
      <c r="A37" s="105" t="n">
        <v>10</v>
      </c>
      <c r="B37" s="105" t="inlineStr">
        <is>
          <t>H052</t>
        </is>
      </c>
      <c r="C37" s="106" t="inlineStr">
        <is>
          <t>Student</t>
        </is>
      </c>
      <c r="D37" s="107" t="inlineStr">
        <is>
          <t>Mathematical Modeling of Motors</t>
        </is>
      </c>
      <c r="E37" s="95">
        <f>'1_Kamlesh_Panchal'!G51</f>
        <v/>
      </c>
      <c r="F37" s="96">
        <f>'2_Hasti_Chandarana'!G51</f>
        <v/>
      </c>
      <c r="G37" s="97">
        <f>'3_Nitu_Gupta'!G51</f>
        <v/>
      </c>
      <c r="H37" s="98">
        <f>'4_Mahendra_Kane'!G51</f>
        <v/>
      </c>
      <c r="I37" s="99">
        <f>'5_Parminder_Jandoo'!G51</f>
        <v/>
      </c>
      <c r="J37" s="100">
        <f>'6_Debasis_Dash'!G51</f>
        <v/>
      </c>
      <c r="K37" s="101">
        <f>E37+F37+G37+H37+I37+J37</f>
        <v/>
      </c>
    </row>
    <row r="38" ht="20" customHeight="1">
      <c r="A38" s="82" t="n">
        <v>11</v>
      </c>
      <c r="B38" s="82" t="inlineStr">
        <is>
          <t>H020</t>
        </is>
      </c>
      <c r="C38" s="83" t="inlineStr">
        <is>
          <t>Student</t>
        </is>
      </c>
      <c r="D38" s="84" t="inlineStr">
        <is>
          <t>Digital Twin (DT) of Motors</t>
        </is>
      </c>
      <c r="E38" s="85">
        <f>'1_Kamlesh_Panchal'!G53</f>
        <v/>
      </c>
      <c r="F38" s="86">
        <f>'2_Hasti_Chandarana'!G53</f>
        <v/>
      </c>
      <c r="G38" s="87">
        <f>'3_Nitu_Gupta'!G53</f>
        <v/>
      </c>
      <c r="H38" s="88">
        <f>'4_Mahendra_Kane'!G53</f>
        <v/>
      </c>
      <c r="I38" s="89">
        <f>'5_Parminder_Jandoo'!G53</f>
        <v/>
      </c>
      <c r="J38" s="90">
        <f>'6_Debasis_Dash'!G53</f>
        <v/>
      </c>
      <c r="K38" s="91">
        <f>E38+F38+G38+H38+I38+J38</f>
        <v/>
      </c>
    </row>
    <row r="39" ht="20" customHeight="1">
      <c r="A39" s="92" t="n">
        <v>11</v>
      </c>
      <c r="B39" s="92" t="inlineStr">
        <is>
          <t>H096</t>
        </is>
      </c>
      <c r="C39" s="93" t="inlineStr">
        <is>
          <t>Student</t>
        </is>
      </c>
      <c r="D39" s="94" t="inlineStr">
        <is>
          <t>Digital Twin (DT) of Motors</t>
        </is>
      </c>
      <c r="E39" s="95">
        <f>'1_Kamlesh_Panchal'!G54</f>
        <v/>
      </c>
      <c r="F39" s="96">
        <f>'2_Hasti_Chandarana'!G54</f>
        <v/>
      </c>
      <c r="G39" s="97">
        <f>'3_Nitu_Gupta'!G54</f>
        <v/>
      </c>
      <c r="H39" s="98">
        <f>'4_Mahendra_Kane'!G54</f>
        <v/>
      </c>
      <c r="I39" s="99">
        <f>'5_Parminder_Jandoo'!G54</f>
        <v/>
      </c>
      <c r="J39" s="100">
        <f>'6_Debasis_Dash'!G54</f>
        <v/>
      </c>
      <c r="K39" s="101">
        <f>E39+F39+G39+H39+I39+J39</f>
        <v/>
      </c>
    </row>
    <row r="40" ht="20" customHeight="1">
      <c r="A40" s="102" t="n">
        <v>12</v>
      </c>
      <c r="B40" s="102" t="inlineStr">
        <is>
          <t>H076</t>
        </is>
      </c>
      <c r="C40" s="103" t="inlineStr">
        <is>
          <t>Student</t>
        </is>
      </c>
      <c r="D40" s="104" t="inlineStr">
        <is>
          <t>Mathematical Modeling for Robotic Gripper Mechanis...</t>
        </is>
      </c>
      <c r="E40" s="85">
        <f>'1_Kamlesh_Panchal'!G56</f>
        <v/>
      </c>
      <c r="F40" s="86">
        <f>'2_Hasti_Chandarana'!G56</f>
        <v/>
      </c>
      <c r="G40" s="87">
        <f>'3_Nitu_Gupta'!G56</f>
        <v/>
      </c>
      <c r="H40" s="88">
        <f>'4_Mahendra_Kane'!G56</f>
        <v/>
      </c>
      <c r="I40" s="89">
        <f>'5_Parminder_Jandoo'!G56</f>
        <v/>
      </c>
      <c r="J40" s="90">
        <f>'6_Debasis_Dash'!G56</f>
        <v/>
      </c>
      <c r="K40" s="91">
        <f>E40+F40+G40+H40+I40+J40</f>
        <v/>
      </c>
    </row>
    <row r="41" ht="20" customHeight="1">
      <c r="A41" s="102" t="n">
        <v>12</v>
      </c>
      <c r="B41" s="102" t="inlineStr">
        <is>
          <t>H078</t>
        </is>
      </c>
      <c r="C41" s="103" t="inlineStr">
        <is>
          <t>Student</t>
        </is>
      </c>
      <c r="D41" s="104" t="inlineStr">
        <is>
          <t>Mathematical Modeling for Robotic Gripper Mechanis...</t>
        </is>
      </c>
      <c r="E41" s="85">
        <f>'1_Kamlesh_Panchal'!G57</f>
        <v/>
      </c>
      <c r="F41" s="86">
        <f>'2_Hasti_Chandarana'!G57</f>
        <v/>
      </c>
      <c r="G41" s="87">
        <f>'3_Nitu_Gupta'!G57</f>
        <v/>
      </c>
      <c r="H41" s="88">
        <f>'4_Mahendra_Kane'!G57</f>
        <v/>
      </c>
      <c r="I41" s="89">
        <f>'5_Parminder_Jandoo'!G57</f>
        <v/>
      </c>
      <c r="J41" s="90">
        <f>'6_Debasis_Dash'!G57</f>
        <v/>
      </c>
      <c r="K41" s="91">
        <f>E41+F41+G41+H41+I41+J41</f>
        <v/>
      </c>
    </row>
    <row r="42" ht="20" customHeight="1">
      <c r="A42" s="105" t="n">
        <v>12</v>
      </c>
      <c r="B42" s="105" t="inlineStr">
        <is>
          <t>H088</t>
        </is>
      </c>
      <c r="C42" s="106" t="inlineStr">
        <is>
          <t>Student</t>
        </is>
      </c>
      <c r="D42" s="107" t="inlineStr">
        <is>
          <t>Mathematical Modeling for Robotic Gripper Mechanis...</t>
        </is>
      </c>
      <c r="E42" s="95">
        <f>'1_Kamlesh_Panchal'!G58</f>
        <v/>
      </c>
      <c r="F42" s="96">
        <f>'2_Hasti_Chandarana'!G58</f>
        <v/>
      </c>
      <c r="G42" s="97">
        <f>'3_Nitu_Gupta'!G58</f>
        <v/>
      </c>
      <c r="H42" s="98">
        <f>'4_Mahendra_Kane'!G58</f>
        <v/>
      </c>
      <c r="I42" s="99">
        <f>'5_Parminder_Jandoo'!G58</f>
        <v/>
      </c>
      <c r="J42" s="100">
        <f>'6_Debasis_Dash'!G58</f>
        <v/>
      </c>
      <c r="K42" s="101">
        <f>E42+F42+G42+H42+I42+J42</f>
        <v/>
      </c>
    </row>
    <row r="43" ht="20" customHeight="1">
      <c r="A43" s="82" t="n">
        <v>13</v>
      </c>
      <c r="B43" s="82" t="inlineStr">
        <is>
          <t>H068</t>
        </is>
      </c>
      <c r="C43" s="83" t="inlineStr">
        <is>
          <t>Student</t>
        </is>
      </c>
      <c r="D43" s="84" t="inlineStr">
        <is>
          <t>Modeling Energy Loss in a Shock Absorber</t>
        </is>
      </c>
      <c r="E43" s="85">
        <f>'1_Kamlesh_Panchal'!G60</f>
        <v/>
      </c>
      <c r="F43" s="86">
        <f>'2_Hasti_Chandarana'!G60</f>
        <v/>
      </c>
      <c r="G43" s="87">
        <f>'3_Nitu_Gupta'!G60</f>
        <v/>
      </c>
      <c r="H43" s="88">
        <f>'4_Mahendra_Kane'!G60</f>
        <v/>
      </c>
      <c r="I43" s="89">
        <f>'5_Parminder_Jandoo'!G60</f>
        <v/>
      </c>
      <c r="J43" s="90">
        <f>'6_Debasis_Dash'!G60</f>
        <v/>
      </c>
      <c r="K43" s="91">
        <f>E43+F43+G43+H43+I43+J43</f>
        <v/>
      </c>
    </row>
    <row r="44" ht="20" customHeight="1">
      <c r="A44" s="82" t="n">
        <v>13</v>
      </c>
      <c r="B44" s="82" t="inlineStr">
        <is>
          <t>H071</t>
        </is>
      </c>
      <c r="C44" s="83" t="inlineStr">
        <is>
          <t>Student</t>
        </is>
      </c>
      <c r="D44" s="84" t="inlineStr">
        <is>
          <t>Modeling Energy Loss in a Shock Absorber</t>
        </is>
      </c>
      <c r="E44" s="85">
        <f>'1_Kamlesh_Panchal'!G61</f>
        <v/>
      </c>
      <c r="F44" s="86">
        <f>'2_Hasti_Chandarana'!G61</f>
        <v/>
      </c>
      <c r="G44" s="87">
        <f>'3_Nitu_Gupta'!G61</f>
        <v/>
      </c>
      <c r="H44" s="88">
        <f>'4_Mahendra_Kane'!G61</f>
        <v/>
      </c>
      <c r="I44" s="89">
        <f>'5_Parminder_Jandoo'!G61</f>
        <v/>
      </c>
      <c r="J44" s="90">
        <f>'6_Debasis_Dash'!G61</f>
        <v/>
      </c>
      <c r="K44" s="91">
        <f>E44+F44+G44+H44+I44+J44</f>
        <v/>
      </c>
    </row>
    <row r="45" ht="20" customHeight="1">
      <c r="A45" s="82" t="n">
        <v>13</v>
      </c>
      <c r="B45" s="82" t="inlineStr">
        <is>
          <t>H086</t>
        </is>
      </c>
      <c r="C45" s="83" t="inlineStr">
        <is>
          <t>Student</t>
        </is>
      </c>
      <c r="D45" s="84" t="inlineStr">
        <is>
          <t>Modeling Energy Loss in a Shock Absorber</t>
        </is>
      </c>
      <c r="E45" s="85">
        <f>'1_Kamlesh_Panchal'!G62</f>
        <v/>
      </c>
      <c r="F45" s="86">
        <f>'2_Hasti_Chandarana'!G62</f>
        <v/>
      </c>
      <c r="G45" s="87">
        <f>'3_Nitu_Gupta'!G62</f>
        <v/>
      </c>
      <c r="H45" s="88">
        <f>'4_Mahendra_Kane'!G62</f>
        <v/>
      </c>
      <c r="I45" s="89">
        <f>'5_Parminder_Jandoo'!G62</f>
        <v/>
      </c>
      <c r="J45" s="90">
        <f>'6_Debasis_Dash'!G62</f>
        <v/>
      </c>
      <c r="K45" s="91">
        <f>E45+F45+G45+H45+I45+J45</f>
        <v/>
      </c>
    </row>
    <row r="46" ht="20" customHeight="1">
      <c r="A46" s="92" t="n">
        <v>13</v>
      </c>
      <c r="B46" s="92" t="inlineStr">
        <is>
          <t>H097</t>
        </is>
      </c>
      <c r="C46" s="93" t="inlineStr">
        <is>
          <t>Student</t>
        </is>
      </c>
      <c r="D46" s="94" t="inlineStr">
        <is>
          <t>Modeling Energy Loss in a Shock Absorber</t>
        </is>
      </c>
      <c r="E46" s="95">
        <f>'1_Kamlesh_Panchal'!G63</f>
        <v/>
      </c>
      <c r="F46" s="96">
        <f>'2_Hasti_Chandarana'!G63</f>
        <v/>
      </c>
      <c r="G46" s="97">
        <f>'3_Nitu_Gupta'!G63</f>
        <v/>
      </c>
      <c r="H46" s="98">
        <f>'4_Mahendra_Kane'!G63</f>
        <v/>
      </c>
      <c r="I46" s="99">
        <f>'5_Parminder_Jandoo'!G63</f>
        <v/>
      </c>
      <c r="J46" s="100">
        <f>'6_Debasis_Dash'!G63</f>
        <v/>
      </c>
      <c r="K46" s="101">
        <f>E46+F46+G46+H46+I46+J46</f>
        <v/>
      </c>
    </row>
    <row r="47" ht="20" customHeight="1">
      <c r="A47" s="102" t="n">
        <v>14</v>
      </c>
      <c r="B47" s="102" t="inlineStr">
        <is>
          <t>H093</t>
        </is>
      </c>
      <c r="C47" s="103" t="inlineStr">
        <is>
          <t>Student</t>
        </is>
      </c>
      <c r="D47" s="104" t="inlineStr">
        <is>
          <t>Self-Balancing Robot with 2-DOF</t>
        </is>
      </c>
      <c r="E47" s="85">
        <f>'1_Kamlesh_Panchal'!G65</f>
        <v/>
      </c>
      <c r="F47" s="86">
        <f>'2_Hasti_Chandarana'!G65</f>
        <v/>
      </c>
      <c r="G47" s="87">
        <f>'3_Nitu_Gupta'!G65</f>
        <v/>
      </c>
      <c r="H47" s="88">
        <f>'4_Mahendra_Kane'!G65</f>
        <v/>
      </c>
      <c r="I47" s="89">
        <f>'5_Parminder_Jandoo'!G65</f>
        <v/>
      </c>
      <c r="J47" s="90">
        <f>'6_Debasis_Dash'!G65</f>
        <v/>
      </c>
      <c r="K47" s="91">
        <f>E47+F47+G47+H47+I47+J47</f>
        <v/>
      </c>
    </row>
    <row r="48" ht="20" customHeight="1">
      <c r="A48" s="105" t="n">
        <v>14</v>
      </c>
      <c r="B48" s="105" t="inlineStr">
        <is>
          <t>H095</t>
        </is>
      </c>
      <c r="C48" s="106" t="inlineStr">
        <is>
          <t>Student</t>
        </is>
      </c>
      <c r="D48" s="107" t="inlineStr">
        <is>
          <t>Self-Balancing Robot with 2-DOF</t>
        </is>
      </c>
      <c r="E48" s="95">
        <f>'1_Kamlesh_Panchal'!G66</f>
        <v/>
      </c>
      <c r="F48" s="96">
        <f>'2_Hasti_Chandarana'!G66</f>
        <v/>
      </c>
      <c r="G48" s="97">
        <f>'3_Nitu_Gupta'!G66</f>
        <v/>
      </c>
      <c r="H48" s="98">
        <f>'4_Mahendra_Kane'!G66</f>
        <v/>
      </c>
      <c r="I48" s="99">
        <f>'5_Parminder_Jandoo'!G66</f>
        <v/>
      </c>
      <c r="J48" s="100">
        <f>'6_Debasis_Dash'!G66</f>
        <v/>
      </c>
      <c r="K48" s="101">
        <f>E48+F48+G48+H48+I48+J48</f>
        <v/>
      </c>
    </row>
    <row r="49" ht="20" customHeight="1">
      <c r="A49" s="82" t="n">
        <v>15</v>
      </c>
      <c r="B49" s="82" t="inlineStr">
        <is>
          <t>H066</t>
        </is>
      </c>
      <c r="C49" s="83" t="inlineStr">
        <is>
          <t>Student</t>
        </is>
      </c>
      <c r="D49" s="84" t="inlineStr">
        <is>
          <t>Automated EoT (Electric Overhead Travel) Crane</t>
        </is>
      </c>
      <c r="E49" s="85">
        <f>'1_Kamlesh_Panchal'!G68</f>
        <v/>
      </c>
      <c r="F49" s="86">
        <f>'2_Hasti_Chandarana'!G68</f>
        <v/>
      </c>
      <c r="G49" s="87">
        <f>'3_Nitu_Gupta'!G68</f>
        <v/>
      </c>
      <c r="H49" s="88">
        <f>'4_Mahendra_Kane'!G68</f>
        <v/>
      </c>
      <c r="I49" s="89">
        <f>'5_Parminder_Jandoo'!G68</f>
        <v/>
      </c>
      <c r="J49" s="90">
        <f>'6_Debasis_Dash'!G68</f>
        <v/>
      </c>
      <c r="K49" s="91">
        <f>E49+F49+G49+H49+I49+J49</f>
        <v/>
      </c>
    </row>
    <row r="50" ht="20" customHeight="1">
      <c r="A50" s="82" t="n">
        <v>15</v>
      </c>
      <c r="B50" s="82" t="inlineStr">
        <is>
          <t>H067</t>
        </is>
      </c>
      <c r="C50" s="83" t="inlineStr">
        <is>
          <t>Student</t>
        </is>
      </c>
      <c r="D50" s="84" t="inlineStr">
        <is>
          <t>Automated EoT (Electric Overhead Travel) Crane</t>
        </is>
      </c>
      <c r="E50" s="85">
        <f>'1_Kamlesh_Panchal'!G69</f>
        <v/>
      </c>
      <c r="F50" s="86">
        <f>'2_Hasti_Chandarana'!G69</f>
        <v/>
      </c>
      <c r="G50" s="87">
        <f>'3_Nitu_Gupta'!G69</f>
        <v/>
      </c>
      <c r="H50" s="88">
        <f>'4_Mahendra_Kane'!G69</f>
        <v/>
      </c>
      <c r="I50" s="89">
        <f>'5_Parminder_Jandoo'!G69</f>
        <v/>
      </c>
      <c r="J50" s="90">
        <f>'6_Debasis_Dash'!G69</f>
        <v/>
      </c>
      <c r="K50" s="91">
        <f>E50+F50+G50+H50+I50+J50</f>
        <v/>
      </c>
    </row>
    <row r="51" ht="20" customHeight="1">
      <c r="A51" s="82" t="n">
        <v>15</v>
      </c>
      <c r="B51" s="82" t="inlineStr">
        <is>
          <t>H090</t>
        </is>
      </c>
      <c r="C51" s="83" t="inlineStr">
        <is>
          <t>Student</t>
        </is>
      </c>
      <c r="D51" s="84" t="inlineStr">
        <is>
          <t>Automated EoT (Electric Overhead Travel) Crane</t>
        </is>
      </c>
      <c r="E51" s="85">
        <f>'1_Kamlesh_Panchal'!G70</f>
        <v/>
      </c>
      <c r="F51" s="86">
        <f>'2_Hasti_Chandarana'!G70</f>
        <v/>
      </c>
      <c r="G51" s="87">
        <f>'3_Nitu_Gupta'!G70</f>
        <v/>
      </c>
      <c r="H51" s="88">
        <f>'4_Mahendra_Kane'!G70</f>
        <v/>
      </c>
      <c r="I51" s="89">
        <f>'5_Parminder_Jandoo'!G70</f>
        <v/>
      </c>
      <c r="J51" s="90">
        <f>'6_Debasis_Dash'!G70</f>
        <v/>
      </c>
      <c r="K51" s="91">
        <f>E51+F51+G51+H51+I51+J51</f>
        <v/>
      </c>
    </row>
    <row r="52" ht="20" customHeight="1">
      <c r="A52" s="92" t="n">
        <v>15</v>
      </c>
      <c r="B52" s="92" t="inlineStr">
        <is>
          <t>H094</t>
        </is>
      </c>
      <c r="C52" s="93" t="inlineStr">
        <is>
          <t>Student</t>
        </is>
      </c>
      <c r="D52" s="94" t="inlineStr">
        <is>
          <t>Automated EoT (Electric Overhead Travel) Crane</t>
        </is>
      </c>
      <c r="E52" s="95">
        <f>'1_Kamlesh_Panchal'!G71</f>
        <v/>
      </c>
      <c r="F52" s="96">
        <f>'2_Hasti_Chandarana'!G71</f>
        <v/>
      </c>
      <c r="G52" s="97">
        <f>'3_Nitu_Gupta'!G71</f>
        <v/>
      </c>
      <c r="H52" s="98">
        <f>'4_Mahendra_Kane'!G71</f>
        <v/>
      </c>
      <c r="I52" s="99">
        <f>'5_Parminder_Jandoo'!G71</f>
        <v/>
      </c>
      <c r="J52" s="100">
        <f>'6_Debasis_Dash'!G71</f>
        <v/>
      </c>
      <c r="K52" s="101">
        <f>E52+F52+G52+H52+I52+J52</f>
        <v/>
      </c>
    </row>
    <row r="53" ht="20" customHeight="1">
      <c r="A53" s="102" t="n">
        <v>16</v>
      </c>
      <c r="B53" s="102" t="inlineStr">
        <is>
          <t>H034</t>
        </is>
      </c>
      <c r="C53" s="103" t="inlineStr">
        <is>
          <t>Student</t>
        </is>
      </c>
      <c r="D53" s="104" t="inlineStr">
        <is>
          <t>Mathematical Operation of Pick-and-Place Autonomou...</t>
        </is>
      </c>
      <c r="E53" s="85">
        <f>'1_Kamlesh_Panchal'!G73</f>
        <v/>
      </c>
      <c r="F53" s="86">
        <f>'2_Hasti_Chandarana'!G73</f>
        <v/>
      </c>
      <c r="G53" s="87">
        <f>'3_Nitu_Gupta'!G73</f>
        <v/>
      </c>
      <c r="H53" s="88">
        <f>'4_Mahendra_Kane'!G73</f>
        <v/>
      </c>
      <c r="I53" s="89">
        <f>'5_Parminder_Jandoo'!G73</f>
        <v/>
      </c>
      <c r="J53" s="90">
        <f>'6_Debasis_Dash'!G73</f>
        <v/>
      </c>
      <c r="K53" s="91">
        <f>E53+F53+G53+H53+I53+J53</f>
        <v/>
      </c>
    </row>
    <row r="54" ht="20" customHeight="1">
      <c r="A54" s="102" t="n">
        <v>16</v>
      </c>
      <c r="B54" s="102" t="inlineStr">
        <is>
          <t>H041</t>
        </is>
      </c>
      <c r="C54" s="103" t="inlineStr">
        <is>
          <t>Student</t>
        </is>
      </c>
      <c r="D54" s="104" t="inlineStr">
        <is>
          <t>Mathematical Operation of Pick-and-Place Autonomou...</t>
        </is>
      </c>
      <c r="E54" s="85">
        <f>'1_Kamlesh_Panchal'!G74</f>
        <v/>
      </c>
      <c r="F54" s="86">
        <f>'2_Hasti_Chandarana'!G74</f>
        <v/>
      </c>
      <c r="G54" s="87">
        <f>'3_Nitu_Gupta'!G74</f>
        <v/>
      </c>
      <c r="H54" s="88">
        <f>'4_Mahendra_Kane'!G74</f>
        <v/>
      </c>
      <c r="I54" s="89">
        <f>'5_Parminder_Jandoo'!G74</f>
        <v/>
      </c>
      <c r="J54" s="90">
        <f>'6_Debasis_Dash'!G74</f>
        <v/>
      </c>
      <c r="K54" s="91">
        <f>E54+F54+G54+H54+I54+J54</f>
        <v/>
      </c>
    </row>
    <row r="55" ht="20" customHeight="1">
      <c r="A55" s="105" t="n">
        <v>16</v>
      </c>
      <c r="B55" s="105" t="inlineStr">
        <is>
          <t>H056</t>
        </is>
      </c>
      <c r="C55" s="106" t="inlineStr">
        <is>
          <t>Student</t>
        </is>
      </c>
      <c r="D55" s="107" t="inlineStr">
        <is>
          <t>Mathematical Operation of Pick-and-Place Autonomou...</t>
        </is>
      </c>
      <c r="E55" s="95">
        <f>'1_Kamlesh_Panchal'!G75</f>
        <v/>
      </c>
      <c r="F55" s="96">
        <f>'2_Hasti_Chandarana'!G75</f>
        <v/>
      </c>
      <c r="G55" s="97">
        <f>'3_Nitu_Gupta'!G75</f>
        <v/>
      </c>
      <c r="H55" s="98">
        <f>'4_Mahendra_Kane'!G75</f>
        <v/>
      </c>
      <c r="I55" s="99">
        <f>'5_Parminder_Jandoo'!G75</f>
        <v/>
      </c>
      <c r="J55" s="100">
        <f>'6_Debasis_Dash'!G75</f>
        <v/>
      </c>
      <c r="K55" s="101">
        <f>E55+F55+G55+H55+I55+J55</f>
        <v/>
      </c>
    </row>
    <row r="56" ht="20" customHeight="1">
      <c r="A56" s="82" t="n">
        <v>17</v>
      </c>
      <c r="B56" s="82" t="inlineStr">
        <is>
          <t>H074</t>
        </is>
      </c>
      <c r="C56" s="83" t="inlineStr">
        <is>
          <t>Student</t>
        </is>
      </c>
      <c r="D56" s="84" t="inlineStr">
        <is>
          <t>Mathematical Modeling of Loading Effects on a Conv...</t>
        </is>
      </c>
      <c r="E56" s="85">
        <f>'1_Kamlesh_Panchal'!G77</f>
        <v/>
      </c>
      <c r="F56" s="86">
        <f>'2_Hasti_Chandarana'!G77</f>
        <v/>
      </c>
      <c r="G56" s="87">
        <f>'3_Nitu_Gupta'!G77</f>
        <v/>
      </c>
      <c r="H56" s="88">
        <f>'4_Mahendra_Kane'!G77</f>
        <v/>
      </c>
      <c r="I56" s="89">
        <f>'5_Parminder_Jandoo'!G77</f>
        <v/>
      </c>
      <c r="J56" s="90">
        <f>'6_Debasis_Dash'!G77</f>
        <v/>
      </c>
      <c r="K56" s="91">
        <f>E56+F56+G56+H56+I56+J56</f>
        <v/>
      </c>
    </row>
    <row r="57" ht="20" customHeight="1">
      <c r="A57" s="92" t="n">
        <v>17</v>
      </c>
      <c r="B57" s="92" t="inlineStr">
        <is>
          <t>H075</t>
        </is>
      </c>
      <c r="C57" s="93" t="inlineStr">
        <is>
          <t>Student</t>
        </is>
      </c>
      <c r="D57" s="94" t="inlineStr">
        <is>
          <t>Mathematical Modeling of Loading Effects on a Conv...</t>
        </is>
      </c>
      <c r="E57" s="95">
        <f>'1_Kamlesh_Panchal'!G78</f>
        <v/>
      </c>
      <c r="F57" s="96">
        <f>'2_Hasti_Chandarana'!G78</f>
        <v/>
      </c>
      <c r="G57" s="97">
        <f>'3_Nitu_Gupta'!G78</f>
        <v/>
      </c>
      <c r="H57" s="98">
        <f>'4_Mahendra_Kane'!G78</f>
        <v/>
      </c>
      <c r="I57" s="99">
        <f>'5_Parminder_Jandoo'!G78</f>
        <v/>
      </c>
      <c r="J57" s="100">
        <f>'6_Debasis_Dash'!G78</f>
        <v/>
      </c>
      <c r="K57" s="101">
        <f>E57+F57+G57+H57+I57+J57</f>
        <v/>
      </c>
    </row>
    <row r="58" ht="24" customHeight="1">
      <c r="A58" s="108" t="inlineStr">
        <is>
          <t>CLASS AVERAGE</t>
        </is>
      </c>
      <c r="B58" s="112" t="n"/>
      <c r="C58" s="112" t="n"/>
      <c r="D58" s="111" t="n"/>
      <c r="E58" s="109">
        <f>ROUND(AVERAGE(E4:E57),2)</f>
        <v/>
      </c>
      <c r="F58" s="109">
        <f>ROUND(AVERAGE(F4:F57),2)</f>
        <v/>
      </c>
      <c r="G58" s="109">
        <f>ROUND(AVERAGE(G4:G57),2)</f>
        <v/>
      </c>
      <c r="H58" s="109">
        <f>ROUND(AVERAGE(H4:H57),2)</f>
        <v/>
      </c>
      <c r="I58" s="109">
        <f>ROUND(AVERAGE(I4:I57),2)</f>
        <v/>
      </c>
      <c r="J58" s="109">
        <f>ROUND(AVERAGE(J4:J57),2)</f>
        <v/>
      </c>
      <c r="K58" s="109">
        <f>ROUND(AVERAGE(K4:K57),2)</f>
        <v/>
      </c>
    </row>
    <row r="59" ht="28" customHeight="1">
      <c r="A59" s="110" t="inlineStr">
        <is>
          <t>NOTE:  C1-C3 are typically GROUP criteria (same score for all students in a group).  C4 is typically INDIVIDUAL (each student scored separately).  Parminder's marks combine morning demo + afternoon formal presentation.  Do NOT edit columns E-J here — enter all marks on the individual evaluator tabs.  MAX = 100.</t>
        </is>
      </c>
    </row>
  </sheetData>
  <mergeCells count="4">
    <mergeCell ref="A2:K2"/>
    <mergeCell ref="A1:K1"/>
    <mergeCell ref="A59:K59"/>
    <mergeCell ref="A58:D5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2026-04-25T02:53:26Z</dcterms:created>
  <dcterms:modified xmlns:dcterms="http://purl.org/dc/terms/" xmlns:xsi="http://www.w3.org/2001/XMLSchema-instance" xsi:type="dcterms:W3CDTF">2026-07-25T10:27:31Z</dcterms:modified>
</cp:coreProperties>
</file>